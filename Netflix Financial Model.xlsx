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"/>
    </mc:Choice>
  </mc:AlternateContent>
  <xr:revisionPtr revIDLastSave="0" documentId="13_ncr:1_{89904C67-9276-4AF2-BFF4-CA9211FB494F}" xr6:coauthVersionLast="47" xr6:coauthVersionMax="47" xr10:uidLastSave="{00000000-0000-0000-0000-000000000000}"/>
  <bookViews>
    <workbookView xWindow="-108" yWindow="-108" windowWidth="23256" windowHeight="12456" xr2:uid="{FBEF2C13-DD0D-40DA-B372-D95E5C243941}"/>
  </bookViews>
  <sheets>
    <sheet name="P&amp;L" sheetId="5" r:id="rId1"/>
    <sheet name="BS" sheetId="4" r:id="rId2"/>
    <sheet name="CFS" sheetId="8" r:id="rId3"/>
    <sheet name="Dupont" sheetId="24" r:id="rId4"/>
    <sheet name="Assumptions" sheetId="9" r:id="rId5"/>
    <sheet name="CCA" sheetId="23" r:id="rId6"/>
    <sheet name="DCF" sheetId="16" r:id="rId7"/>
    <sheet name="WACC" sheetId="14" r:id="rId8"/>
    <sheet name="Regression Beta" sheetId="15" r:id="rId9"/>
    <sheet name="Ratio Analysis" sheetId="21" r:id="rId10"/>
  </sheets>
  <definedNames>
    <definedName name="ExternalData_1" localSheetId="6" hidden="1">DCF!$L$39</definedName>
    <definedName name="ExternalData_2" localSheetId="6" hidden="1">DCF!$L$23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8_93b9529e-7e5f-4536-a8d4-f0987c13ac2e" name="Table 8" connection="Query - Table 8"/>
          <x15:modelTable id="Table 8  2_01b13333-99c5-4a65-aba3-75b54c69e36c" name="Table 8  2" connection="Query - Table 8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24" l="1"/>
  <c r="D30" i="24" s="1"/>
  <c r="E29" i="24"/>
  <c r="F29" i="24"/>
  <c r="C29" i="24"/>
  <c r="B29" i="24"/>
  <c r="C42" i="24"/>
  <c r="D39" i="24"/>
  <c r="E39" i="24"/>
  <c r="F39" i="24"/>
  <c r="C39" i="24"/>
  <c r="D35" i="24"/>
  <c r="D38" i="24" s="1"/>
  <c r="E35" i="24"/>
  <c r="F35" i="24"/>
  <c r="C35" i="24"/>
  <c r="C38" i="24" s="1"/>
  <c r="D28" i="24"/>
  <c r="D34" i="24" s="1"/>
  <c r="E28" i="24"/>
  <c r="F28" i="24"/>
  <c r="C28" i="24"/>
  <c r="C34" i="24" s="1"/>
  <c r="D27" i="24"/>
  <c r="E27" i="24"/>
  <c r="E33" i="24" s="1"/>
  <c r="F27" i="24"/>
  <c r="F33" i="24" s="1"/>
  <c r="C27" i="24"/>
  <c r="F38" i="24"/>
  <c r="E38" i="24"/>
  <c r="F34" i="24"/>
  <c r="F36" i="24" s="1"/>
  <c r="E34" i="24"/>
  <c r="E36" i="24" s="1"/>
  <c r="B34" i="24"/>
  <c r="D33" i="24"/>
  <c r="C33" i="24"/>
  <c r="D11" i="24"/>
  <c r="E11" i="24"/>
  <c r="F11" i="24"/>
  <c r="C11" i="24"/>
  <c r="C17" i="24"/>
  <c r="C20" i="24"/>
  <c r="D21" i="24"/>
  <c r="E21" i="24"/>
  <c r="F21" i="24"/>
  <c r="C21" i="24"/>
  <c r="D20" i="24"/>
  <c r="E20" i="24"/>
  <c r="F20" i="24"/>
  <c r="D19" i="24"/>
  <c r="E19" i="24"/>
  <c r="F19" i="24"/>
  <c r="C19" i="24"/>
  <c r="D36" i="24" l="1"/>
  <c r="C36" i="24"/>
  <c r="D40" i="24"/>
  <c r="F30" i="24"/>
  <c r="E30" i="24"/>
  <c r="C40" i="24"/>
  <c r="E40" i="24"/>
  <c r="E42" i="24" s="1"/>
  <c r="F40" i="24"/>
  <c r="F42" i="24" s="1"/>
  <c r="C30" i="24"/>
  <c r="D42" i="24" l="1"/>
  <c r="D17" i="24" l="1"/>
  <c r="E17" i="24"/>
  <c r="F17" i="24"/>
  <c r="D15" i="24"/>
  <c r="E15" i="24"/>
  <c r="F15" i="24"/>
  <c r="C15" i="24"/>
  <c r="C13" i="24"/>
  <c r="C23" i="24" s="1"/>
  <c r="D12" i="24"/>
  <c r="E12" i="24"/>
  <c r="F12" i="24"/>
  <c r="F13" i="24" s="1"/>
  <c r="F23" i="24" s="1"/>
  <c r="C12" i="24"/>
  <c r="C7" i="24"/>
  <c r="D7" i="24"/>
  <c r="E7" i="24"/>
  <c r="F7" i="24"/>
  <c r="D5" i="24"/>
  <c r="E5" i="24"/>
  <c r="F5" i="24"/>
  <c r="C5" i="24"/>
  <c r="N8" i="23"/>
  <c r="P8" i="23"/>
  <c r="P19" i="23"/>
  <c r="N19" i="23"/>
  <c r="N21" i="23"/>
  <c r="P6" i="23"/>
  <c r="O6" i="23"/>
  <c r="N6" i="23"/>
  <c r="O8" i="23"/>
  <c r="N7" i="23"/>
  <c r="O7" i="23"/>
  <c r="P7" i="23"/>
  <c r="P21" i="23"/>
  <c r="O21" i="23"/>
  <c r="O19" i="23"/>
  <c r="K40" i="16"/>
  <c r="E16" i="16"/>
  <c r="F16" i="16"/>
  <c r="G16" i="16"/>
  <c r="H16" i="16"/>
  <c r="D16" i="16"/>
  <c r="E114" i="9"/>
  <c r="F114" i="9"/>
  <c r="G114" i="9"/>
  <c r="H114" i="9"/>
  <c r="I114" i="9"/>
  <c r="J114" i="9"/>
  <c r="K114" i="9"/>
  <c r="D114" i="9"/>
  <c r="D113" i="9"/>
  <c r="E113" i="9"/>
  <c r="F113" i="9"/>
  <c r="G113" i="9"/>
  <c r="H113" i="9"/>
  <c r="I113" i="9"/>
  <c r="J113" i="9"/>
  <c r="K113" i="9"/>
  <c r="C113" i="9"/>
  <c r="C108" i="9"/>
  <c r="D108" i="9"/>
  <c r="E108" i="9"/>
  <c r="F108" i="9"/>
  <c r="C109" i="9"/>
  <c r="D109" i="9"/>
  <c r="E109" i="9"/>
  <c r="F109" i="9"/>
  <c r="G109" i="9"/>
  <c r="H109" i="9"/>
  <c r="I109" i="9"/>
  <c r="J109" i="9"/>
  <c r="K109" i="9"/>
  <c r="C110" i="9"/>
  <c r="D110" i="9"/>
  <c r="E110" i="9"/>
  <c r="F110" i="9"/>
  <c r="C111" i="9"/>
  <c r="D111" i="9"/>
  <c r="E111" i="9"/>
  <c r="F111" i="9"/>
  <c r="C112" i="9"/>
  <c r="D112" i="9"/>
  <c r="E112" i="9"/>
  <c r="F112" i="9"/>
  <c r="B110" i="9"/>
  <c r="B111" i="9"/>
  <c r="B112" i="9"/>
  <c r="B109" i="9"/>
  <c r="B108" i="9"/>
  <c r="D104" i="9"/>
  <c r="D105" i="9" s="1"/>
  <c r="E104" i="9"/>
  <c r="E105" i="9" s="1"/>
  <c r="F104" i="9"/>
  <c r="F105" i="9" s="1"/>
  <c r="C104" i="9"/>
  <c r="C105" i="9" s="1"/>
  <c r="G131" i="9"/>
  <c r="H131" i="9" s="1"/>
  <c r="I131" i="9" s="1"/>
  <c r="L20" i="16"/>
  <c r="D13" i="24" l="1"/>
  <c r="D23" i="24" s="1"/>
  <c r="E13" i="24"/>
  <c r="E23" i="24" s="1"/>
  <c r="P15" i="23"/>
  <c r="N10" i="23"/>
  <c r="O14" i="23"/>
  <c r="P14" i="23"/>
  <c r="P13" i="23"/>
  <c r="P20" i="23" s="1"/>
  <c r="P22" i="23" s="1"/>
  <c r="P11" i="23"/>
  <c r="P10" i="23"/>
  <c r="P12" i="23"/>
  <c r="O10" i="23"/>
  <c r="N14" i="23"/>
  <c r="O11" i="23"/>
  <c r="N15" i="23"/>
  <c r="N11" i="23"/>
  <c r="N12" i="23"/>
  <c r="O15" i="23"/>
  <c r="O12" i="23"/>
  <c r="N13" i="23"/>
  <c r="O13" i="23"/>
  <c r="O18" i="23" s="1"/>
  <c r="G105" i="9"/>
  <c r="J131" i="9"/>
  <c r="K131" i="9" s="1"/>
  <c r="C14" i="14"/>
  <c r="C48" i="9"/>
  <c r="C18" i="21" s="1"/>
  <c r="D130" i="9"/>
  <c r="E130" i="9"/>
  <c r="F130" i="9"/>
  <c r="C130" i="9"/>
  <c r="G127" i="9"/>
  <c r="G129" i="9" s="1"/>
  <c r="G21" i="5" s="1"/>
  <c r="D28" i="21"/>
  <c r="E28" i="21"/>
  <c r="F28" i="21"/>
  <c r="C28" i="21"/>
  <c r="E27" i="21"/>
  <c r="F27" i="21"/>
  <c r="D27" i="21"/>
  <c r="C82" i="9"/>
  <c r="D25" i="21"/>
  <c r="D30" i="21" s="1"/>
  <c r="E77" i="9"/>
  <c r="F77" i="9"/>
  <c r="D77" i="9"/>
  <c r="D78" i="9" s="1"/>
  <c r="E25" i="21"/>
  <c r="E30" i="21" s="1"/>
  <c r="F25" i="21"/>
  <c r="F30" i="21" s="1"/>
  <c r="D23" i="21"/>
  <c r="E23" i="21"/>
  <c r="F23" i="21"/>
  <c r="C23" i="21"/>
  <c r="D21" i="21"/>
  <c r="D22" i="21" s="1"/>
  <c r="E21" i="21"/>
  <c r="E22" i="21" s="1"/>
  <c r="F21" i="21"/>
  <c r="F22" i="21" s="1"/>
  <c r="C21" i="21"/>
  <c r="D20" i="21"/>
  <c r="E20" i="21"/>
  <c r="F20" i="21"/>
  <c r="C20" i="21"/>
  <c r="D17" i="21"/>
  <c r="E17" i="21"/>
  <c r="F17" i="21"/>
  <c r="C17" i="21"/>
  <c r="D15" i="21"/>
  <c r="E15" i="21"/>
  <c r="F15" i="21"/>
  <c r="C15" i="21"/>
  <c r="D14" i="21"/>
  <c r="E14" i="21"/>
  <c r="F14" i="21"/>
  <c r="C14" i="21"/>
  <c r="D13" i="21"/>
  <c r="E13" i="21"/>
  <c r="F13" i="21"/>
  <c r="C13" i="21"/>
  <c r="D11" i="21"/>
  <c r="E11" i="21"/>
  <c r="F11" i="21"/>
  <c r="C11" i="21"/>
  <c r="E9" i="21"/>
  <c r="F9" i="21"/>
  <c r="D9" i="21"/>
  <c r="E8" i="21"/>
  <c r="F8" i="21"/>
  <c r="D8" i="21"/>
  <c r="E6" i="21"/>
  <c r="F6" i="21"/>
  <c r="D6" i="21"/>
  <c r="N18" i="23" l="1"/>
  <c r="N20" i="23" s="1"/>
  <c r="N22" i="23" s="1"/>
  <c r="G29" i="4"/>
  <c r="C12" i="21"/>
  <c r="H105" i="9"/>
  <c r="I105" i="9" s="1"/>
  <c r="J105" i="9" s="1"/>
  <c r="H127" i="9"/>
  <c r="H29" i="4" s="1"/>
  <c r="D27" i="8"/>
  <c r="I127" i="9"/>
  <c r="G130" i="9"/>
  <c r="G22" i="5" s="1"/>
  <c r="C22" i="21"/>
  <c r="O20" i="23" l="1"/>
  <c r="O22" i="23" s="1"/>
  <c r="K105" i="9"/>
  <c r="I29" i="4"/>
  <c r="I129" i="9"/>
  <c r="F27" i="8"/>
  <c r="H129" i="9"/>
  <c r="H21" i="5" s="1"/>
  <c r="I21" i="5" s="1"/>
  <c r="E27" i="8"/>
  <c r="J127" i="9"/>
  <c r="C13" i="14"/>
  <c r="C15" i="14" s="1"/>
  <c r="H20" i="14" s="1"/>
  <c r="H130" i="9"/>
  <c r="H22" i="5" s="1"/>
  <c r="J129" i="9" l="1"/>
  <c r="J21" i="5" s="1"/>
  <c r="G27" i="8"/>
  <c r="K127" i="9"/>
  <c r="J29" i="4"/>
  <c r="K29" i="4" s="1"/>
  <c r="H23" i="14"/>
  <c r="I130" i="9"/>
  <c r="I22" i="5" s="1"/>
  <c r="C27" i="9"/>
  <c r="D124" i="9"/>
  <c r="E124" i="9"/>
  <c r="F124" i="9"/>
  <c r="C124" i="9"/>
  <c r="D123" i="9"/>
  <c r="E123" i="9"/>
  <c r="F123" i="9"/>
  <c r="C123" i="9"/>
  <c r="C119" i="9"/>
  <c r="D119" i="9"/>
  <c r="E119" i="9"/>
  <c r="F119" i="9"/>
  <c r="C19" i="5"/>
  <c r="F19" i="5"/>
  <c r="D19" i="5"/>
  <c r="E19" i="5"/>
  <c r="D18" i="5"/>
  <c r="E18" i="5"/>
  <c r="F18" i="5"/>
  <c r="C18" i="5"/>
  <c r="D101" i="9"/>
  <c r="D102" i="9" s="1"/>
  <c r="E101" i="9"/>
  <c r="F101" i="9"/>
  <c r="C101" i="9"/>
  <c r="D100" i="9"/>
  <c r="E100" i="9"/>
  <c r="F100" i="9"/>
  <c r="C100" i="9"/>
  <c r="D125" i="9" l="1"/>
  <c r="F125" i="9"/>
  <c r="E125" i="9"/>
  <c r="C102" i="9"/>
  <c r="F102" i="9"/>
  <c r="E102" i="9"/>
  <c r="G102" i="9"/>
  <c r="H102" i="9" s="1"/>
  <c r="K129" i="9"/>
  <c r="H27" i="8"/>
  <c r="K21" i="5"/>
  <c r="J130" i="9"/>
  <c r="J22" i="5" s="1"/>
  <c r="G91" i="9"/>
  <c r="I102" i="9" l="1"/>
  <c r="J102" i="9"/>
  <c r="K102" i="9" s="1"/>
  <c r="K130" i="9"/>
  <c r="K22" i="5" s="1"/>
  <c r="L36" i="16"/>
  <c r="L18" i="16"/>
  <c r="L17" i="16"/>
  <c r="L15" i="16"/>
  <c r="E7" i="16" l="1"/>
  <c r="F7" i="16" s="1"/>
  <c r="G7" i="16" s="1"/>
  <c r="H7" i="16" s="1"/>
  <c r="E9" i="14"/>
  <c r="E8" i="14"/>
  <c r="E10" i="14" l="1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8" i="15"/>
  <c r="K8" i="15" l="1"/>
  <c r="K10" i="15" s="1"/>
  <c r="K15" i="15" s="1"/>
  <c r="H22" i="14"/>
  <c r="J10" i="14" l="1"/>
  <c r="J11" i="14" l="1"/>
  <c r="H19" i="14" s="1"/>
  <c r="H25" i="14" s="1"/>
  <c r="L5" i="16" s="1"/>
  <c r="C50" i="9"/>
  <c r="F47" i="9"/>
  <c r="D48" i="9"/>
  <c r="D50" i="9" s="1"/>
  <c r="E48" i="9"/>
  <c r="E50" i="9" s="1"/>
  <c r="F48" i="9"/>
  <c r="C56" i="9"/>
  <c r="C57" i="9" s="1"/>
  <c r="D56" i="9"/>
  <c r="E56" i="9"/>
  <c r="F56" i="9"/>
  <c r="F59" i="9"/>
  <c r="G53" i="9" s="1"/>
  <c r="C59" i="9"/>
  <c r="D53" i="9" s="1"/>
  <c r="C66" i="9"/>
  <c r="D64" i="9"/>
  <c r="E64" i="9"/>
  <c r="F64" i="9"/>
  <c r="C64" i="9"/>
  <c r="D68" i="9"/>
  <c r="E62" i="9" s="1"/>
  <c r="E66" i="9" s="1"/>
  <c r="E68" i="9"/>
  <c r="F62" i="9" s="1"/>
  <c r="F66" i="9" s="1"/>
  <c r="F68" i="9"/>
  <c r="G62" i="9" s="1"/>
  <c r="C68" i="9"/>
  <c r="D62" i="9" s="1"/>
  <c r="D66" i="9" s="1"/>
  <c r="C93" i="9"/>
  <c r="C95" i="9" s="1"/>
  <c r="D26" i="8"/>
  <c r="D96" i="9"/>
  <c r="E96" i="9"/>
  <c r="F96" i="9"/>
  <c r="C96" i="9"/>
  <c r="D86" i="9"/>
  <c r="E86" i="9"/>
  <c r="F86" i="9"/>
  <c r="C86" i="9"/>
  <c r="D85" i="9"/>
  <c r="E85" i="9"/>
  <c r="F85" i="9"/>
  <c r="C85" i="9"/>
  <c r="E78" i="9"/>
  <c r="F78" i="9"/>
  <c r="C25" i="9"/>
  <c r="C71" i="9"/>
  <c r="D82" i="9"/>
  <c r="E82" i="9"/>
  <c r="F82" i="9"/>
  <c r="F71" i="9"/>
  <c r="D71" i="9"/>
  <c r="E71" i="9"/>
  <c r="D47" i="9"/>
  <c r="E47" i="9"/>
  <c r="C47" i="9"/>
  <c r="D7" i="8"/>
  <c r="F55" i="9"/>
  <c r="D55" i="9"/>
  <c r="E55" i="9"/>
  <c r="C55" i="9"/>
  <c r="D59" i="9"/>
  <c r="E53" i="9" s="1"/>
  <c r="E59" i="9"/>
  <c r="F53" i="9" s="1"/>
  <c r="D42" i="9"/>
  <c r="E42" i="9"/>
  <c r="F42" i="9"/>
  <c r="C42" i="9"/>
  <c r="C41" i="9"/>
  <c r="D41" i="9"/>
  <c r="E41" i="9"/>
  <c r="F41" i="9"/>
  <c r="B41" i="9"/>
  <c r="G7" i="5"/>
  <c r="C33" i="9"/>
  <c r="D33" i="9"/>
  <c r="E33" i="9"/>
  <c r="F33" i="9"/>
  <c r="C35" i="9"/>
  <c r="D35" i="9"/>
  <c r="E35" i="9"/>
  <c r="F35" i="9"/>
  <c r="C37" i="9"/>
  <c r="D37" i="9"/>
  <c r="E37" i="9"/>
  <c r="F37" i="9"/>
  <c r="B35" i="9"/>
  <c r="B37" i="9"/>
  <c r="B33" i="9"/>
  <c r="C34" i="8"/>
  <c r="D33" i="8" s="1"/>
  <c r="D4" i="9"/>
  <c r="E4" i="9" s="1"/>
  <c r="F4" i="9" s="1"/>
  <c r="G4" i="9" s="1"/>
  <c r="H4" i="9" s="1"/>
  <c r="I4" i="9" s="1"/>
  <c r="J4" i="9" s="1"/>
  <c r="K4" i="9" s="1"/>
  <c r="D28" i="9"/>
  <c r="E28" i="9"/>
  <c r="F28" i="9"/>
  <c r="C28" i="9"/>
  <c r="D27" i="9"/>
  <c r="E27" i="9"/>
  <c r="F27" i="9"/>
  <c r="D25" i="9"/>
  <c r="E25" i="9"/>
  <c r="F25" i="9"/>
  <c r="D3" i="9"/>
  <c r="E3" i="9" s="1"/>
  <c r="F3" i="9" s="1"/>
  <c r="G3" i="9" s="1"/>
  <c r="H3" i="9" s="1"/>
  <c r="I3" i="9" s="1"/>
  <c r="J3" i="9" s="1"/>
  <c r="K3" i="9" s="1"/>
  <c r="E4" i="4"/>
  <c r="F4" i="4"/>
  <c r="G4" i="4" s="1"/>
  <c r="H4" i="4" s="1"/>
  <c r="I4" i="4" s="1"/>
  <c r="J4" i="4" s="1"/>
  <c r="K4" i="4" s="1"/>
  <c r="D4" i="4"/>
  <c r="E4" i="5"/>
  <c r="F4" i="5"/>
  <c r="G4" i="5"/>
  <c r="H4" i="5"/>
  <c r="I4" i="5"/>
  <c r="J4" i="5"/>
  <c r="K4" i="5"/>
  <c r="D4" i="5"/>
  <c r="D3" i="8"/>
  <c r="D6" i="16" s="1"/>
  <c r="C10" i="5"/>
  <c r="C14" i="5" s="1"/>
  <c r="C16" i="5" s="1"/>
  <c r="E10" i="5"/>
  <c r="E14" i="5" s="1"/>
  <c r="E16" i="5" s="1"/>
  <c r="F10" i="5"/>
  <c r="F14" i="5" s="1"/>
  <c r="F16" i="5" s="1"/>
  <c r="D10" i="5"/>
  <c r="D14" i="5" s="1"/>
  <c r="D16" i="5" s="1"/>
  <c r="D3" i="5"/>
  <c r="E3" i="5" s="1"/>
  <c r="F3" i="5" s="1"/>
  <c r="G3" i="5" s="1"/>
  <c r="H3" i="5" s="1"/>
  <c r="I3" i="5" s="1"/>
  <c r="J3" i="5" s="1"/>
  <c r="K3" i="5" s="1"/>
  <c r="D32" i="4"/>
  <c r="E32" i="4"/>
  <c r="F32" i="4"/>
  <c r="C32" i="4"/>
  <c r="D27" i="4"/>
  <c r="E27" i="4"/>
  <c r="F27" i="4"/>
  <c r="C27" i="4"/>
  <c r="D23" i="4"/>
  <c r="E23" i="4"/>
  <c r="E33" i="4" s="1"/>
  <c r="F23" i="4"/>
  <c r="F33" i="4" s="1"/>
  <c r="C23" i="4"/>
  <c r="C33" i="4" s="1"/>
  <c r="D10" i="4"/>
  <c r="D14" i="4" s="1"/>
  <c r="E10" i="4"/>
  <c r="E14" i="4" s="1"/>
  <c r="F10" i="4"/>
  <c r="F14" i="4" s="1"/>
  <c r="C10" i="4"/>
  <c r="C14" i="4" s="1"/>
  <c r="D3" i="4"/>
  <c r="E3" i="4" s="1"/>
  <c r="F3" i="4" s="1"/>
  <c r="G3" i="4" s="1"/>
  <c r="H3" i="4" s="1"/>
  <c r="I3" i="4" s="1"/>
  <c r="J3" i="4" s="1"/>
  <c r="K3" i="4" s="1"/>
  <c r="E26" i="21" l="1"/>
  <c r="E31" i="21" s="1"/>
  <c r="E32" i="21" s="1"/>
  <c r="E72" i="9"/>
  <c r="D26" i="21"/>
  <c r="D31" i="21" s="1"/>
  <c r="D32" i="21" s="1"/>
  <c r="D72" i="9"/>
  <c r="D73" i="9" s="1"/>
  <c r="F12" i="21"/>
  <c r="F18" i="21"/>
  <c r="F7" i="21"/>
  <c r="C14" i="9"/>
  <c r="C9" i="9"/>
  <c r="G9" i="9" s="1"/>
  <c r="C19" i="9"/>
  <c r="C24" i="9"/>
  <c r="H78" i="9"/>
  <c r="I78" i="9" s="1"/>
  <c r="G78" i="9"/>
  <c r="D19" i="9"/>
  <c r="D14" i="9"/>
  <c r="D24" i="9"/>
  <c r="D9" i="9"/>
  <c r="E18" i="21"/>
  <c r="E12" i="21"/>
  <c r="E7" i="21"/>
  <c r="G26" i="9"/>
  <c r="G21" i="9" s="1"/>
  <c r="F14" i="9"/>
  <c r="F24" i="9"/>
  <c r="F19" i="9"/>
  <c r="F9" i="9"/>
  <c r="E14" i="9"/>
  <c r="E9" i="9"/>
  <c r="E19" i="9"/>
  <c r="E24" i="9"/>
  <c r="D18" i="21"/>
  <c r="D12" i="21"/>
  <c r="D7" i="21"/>
  <c r="F50" i="9"/>
  <c r="D30" i="8"/>
  <c r="D37" i="16"/>
  <c r="E3" i="8"/>
  <c r="G66" i="9"/>
  <c r="H66" i="9" s="1"/>
  <c r="I66" i="9" s="1"/>
  <c r="G64" i="9"/>
  <c r="H64" i="9" s="1"/>
  <c r="H91" i="9"/>
  <c r="E26" i="8" s="1"/>
  <c r="C87" i="9"/>
  <c r="C118" i="9" s="1"/>
  <c r="F87" i="9"/>
  <c r="F118" i="9" s="1"/>
  <c r="D87" i="9"/>
  <c r="D118" i="9" s="1"/>
  <c r="E87" i="9"/>
  <c r="E118" i="9" s="1"/>
  <c r="C97" i="9"/>
  <c r="E73" i="9"/>
  <c r="D89" i="9"/>
  <c r="E38" i="9"/>
  <c r="C34" i="9"/>
  <c r="D38" i="9"/>
  <c r="E57" i="9"/>
  <c r="D57" i="9"/>
  <c r="G47" i="9"/>
  <c r="H47" i="9" s="1"/>
  <c r="E29" i="9"/>
  <c r="F57" i="9"/>
  <c r="D43" i="9"/>
  <c r="C38" i="9"/>
  <c r="F43" i="9"/>
  <c r="G43" i="9" s="1"/>
  <c r="H43" i="9" s="1"/>
  <c r="I43" i="9" s="1"/>
  <c r="J43" i="9" s="1"/>
  <c r="K43" i="9" s="1"/>
  <c r="F36" i="9"/>
  <c r="C43" i="9"/>
  <c r="E43" i="9"/>
  <c r="D36" i="9"/>
  <c r="E34" i="9"/>
  <c r="D34" i="9"/>
  <c r="D29" i="9"/>
  <c r="C36" i="9"/>
  <c r="F38" i="9"/>
  <c r="E36" i="9"/>
  <c r="F26" i="9"/>
  <c r="F34" i="9"/>
  <c r="G9" i="5"/>
  <c r="G8" i="5"/>
  <c r="F29" i="9"/>
  <c r="D26" i="9"/>
  <c r="E26" i="9"/>
  <c r="D33" i="4"/>
  <c r="C35" i="4"/>
  <c r="D35" i="4"/>
  <c r="F35" i="4"/>
  <c r="E35" i="4"/>
  <c r="H77" i="9" l="1"/>
  <c r="E120" i="9"/>
  <c r="G6" i="9"/>
  <c r="D120" i="9"/>
  <c r="G24" i="9"/>
  <c r="H24" i="9" s="1"/>
  <c r="G19" i="9"/>
  <c r="G16" i="9" s="1"/>
  <c r="F72" i="9"/>
  <c r="F73" i="9" s="1"/>
  <c r="G73" i="9" s="1"/>
  <c r="F26" i="21"/>
  <c r="F31" i="21" s="1"/>
  <c r="F32" i="21" s="1"/>
  <c r="G14" i="9"/>
  <c r="G11" i="9" s="1"/>
  <c r="F120" i="9"/>
  <c r="C120" i="9"/>
  <c r="H9" i="9"/>
  <c r="G77" i="9"/>
  <c r="J78" i="9"/>
  <c r="K78" i="9" s="1"/>
  <c r="E30" i="8"/>
  <c r="E37" i="16"/>
  <c r="G100" i="9"/>
  <c r="G101" i="9" s="1"/>
  <c r="G20" i="4" s="1"/>
  <c r="F3" i="8"/>
  <c r="E6" i="16"/>
  <c r="G65" i="9"/>
  <c r="G48" i="9" s="1"/>
  <c r="D13" i="8" s="1"/>
  <c r="I91" i="9"/>
  <c r="J91" i="9" s="1"/>
  <c r="J66" i="9"/>
  <c r="K66" i="9" s="1"/>
  <c r="I64" i="9"/>
  <c r="J64" i="9"/>
  <c r="K64" i="9" s="1"/>
  <c r="G57" i="9"/>
  <c r="G56" i="9" s="1"/>
  <c r="D93" i="9"/>
  <c r="E89" i="9" s="1"/>
  <c r="E93" i="9" s="1"/>
  <c r="F89" i="9" s="1"/>
  <c r="I77" i="9"/>
  <c r="I47" i="9"/>
  <c r="J47" i="9" s="1"/>
  <c r="G111" i="9" l="1"/>
  <c r="H19" i="9"/>
  <c r="I19" i="9" s="1"/>
  <c r="J19" i="9" s="1"/>
  <c r="K19" i="9" s="1"/>
  <c r="I24" i="9"/>
  <c r="J24" i="9" s="1"/>
  <c r="K24" i="9" s="1"/>
  <c r="F121" i="9"/>
  <c r="J9" i="9"/>
  <c r="H73" i="9"/>
  <c r="C121" i="9"/>
  <c r="D121" i="9"/>
  <c r="D14" i="16"/>
  <c r="D34" i="16" s="1"/>
  <c r="G72" i="9"/>
  <c r="I9" i="9"/>
  <c r="H14" i="9"/>
  <c r="I14" i="9" s="1"/>
  <c r="J14" i="9" s="1"/>
  <c r="K14" i="9" s="1"/>
  <c r="E121" i="9"/>
  <c r="D11" i="8"/>
  <c r="G3" i="8"/>
  <c r="F6" i="16"/>
  <c r="F26" i="8"/>
  <c r="G59" i="9"/>
  <c r="G49" i="9"/>
  <c r="E95" i="9"/>
  <c r="E97" i="9" s="1"/>
  <c r="H57" i="9"/>
  <c r="I57" i="9" s="1"/>
  <c r="K91" i="9"/>
  <c r="H26" i="8" s="1"/>
  <c r="G26" i="8"/>
  <c r="F93" i="9"/>
  <c r="G89" i="9" s="1"/>
  <c r="D95" i="9"/>
  <c r="D97" i="9" s="1"/>
  <c r="K47" i="9"/>
  <c r="G34" i="9"/>
  <c r="G38" i="9"/>
  <c r="G36" i="9"/>
  <c r="H25" i="9"/>
  <c r="G5" i="5"/>
  <c r="G104" i="9" s="1"/>
  <c r="G21" i="4" s="1"/>
  <c r="G112" i="9" s="1"/>
  <c r="D12" i="8" l="1"/>
  <c r="K9" i="9"/>
  <c r="H21" i="9"/>
  <c r="H6" i="9"/>
  <c r="H16" i="9"/>
  <c r="H11" i="9"/>
  <c r="G93" i="9"/>
  <c r="H89" i="9" s="1"/>
  <c r="I73" i="9"/>
  <c r="G17" i="21"/>
  <c r="G18" i="21"/>
  <c r="G6" i="21"/>
  <c r="H30" i="8"/>
  <c r="H37" i="16"/>
  <c r="F30" i="8"/>
  <c r="F37" i="16"/>
  <c r="G30" i="8"/>
  <c r="G37" i="16"/>
  <c r="H3" i="8"/>
  <c r="H6" i="16" s="1"/>
  <c r="G6" i="16"/>
  <c r="G63" i="9"/>
  <c r="G46" i="9"/>
  <c r="G50" i="9" s="1"/>
  <c r="J57" i="9"/>
  <c r="K57" i="9" s="1"/>
  <c r="H72" i="9"/>
  <c r="F95" i="9"/>
  <c r="F97" i="9" s="1"/>
  <c r="J77" i="9"/>
  <c r="K77" i="9"/>
  <c r="G76" i="9"/>
  <c r="G55" i="9"/>
  <c r="H53" i="9"/>
  <c r="G11" i="4"/>
  <c r="D8" i="8"/>
  <c r="H38" i="9"/>
  <c r="H37" i="9" s="1"/>
  <c r="H34" i="9"/>
  <c r="H33" i="9" s="1"/>
  <c r="H36" i="9"/>
  <c r="I25" i="9"/>
  <c r="H5" i="5"/>
  <c r="H104" i="9" s="1"/>
  <c r="H21" i="4" s="1"/>
  <c r="H112" i="9" s="1"/>
  <c r="E12" i="8" l="1"/>
  <c r="J73" i="9"/>
  <c r="K73" i="9" s="1"/>
  <c r="G25" i="4"/>
  <c r="G95" i="9"/>
  <c r="G87" i="9" s="1"/>
  <c r="I6" i="9"/>
  <c r="I16" i="9"/>
  <c r="I11" i="9"/>
  <c r="I21" i="9"/>
  <c r="H6" i="21"/>
  <c r="G82" i="9"/>
  <c r="G9" i="4" s="1"/>
  <c r="G25" i="21"/>
  <c r="G30" i="21" s="1"/>
  <c r="G68" i="9"/>
  <c r="D17" i="8"/>
  <c r="H63" i="9"/>
  <c r="E17" i="8" s="1"/>
  <c r="E22" i="8" s="1"/>
  <c r="I72" i="9"/>
  <c r="J72" i="9"/>
  <c r="G85" i="9"/>
  <c r="G86" i="9"/>
  <c r="G27" i="4" s="1"/>
  <c r="H93" i="9"/>
  <c r="G97" i="9"/>
  <c r="G96" i="9" s="1"/>
  <c r="G12" i="5" s="1"/>
  <c r="H46" i="9"/>
  <c r="H76" i="9"/>
  <c r="H25" i="21" s="1"/>
  <c r="H30" i="21" s="1"/>
  <c r="I34" i="9"/>
  <c r="J34" i="9" s="1"/>
  <c r="K34" i="9" s="1"/>
  <c r="G6" i="5"/>
  <c r="G10" i="5" s="1"/>
  <c r="G71" i="9"/>
  <c r="G19" i="4" s="1"/>
  <c r="H56" i="9"/>
  <c r="H49" i="9" s="1"/>
  <c r="H55" i="9"/>
  <c r="H54" i="9" s="1"/>
  <c r="E7" i="8" s="1"/>
  <c r="I38" i="9"/>
  <c r="J38" i="9" s="1"/>
  <c r="K38" i="9" s="1"/>
  <c r="I36" i="9"/>
  <c r="H35" i="9"/>
  <c r="H7" i="5"/>
  <c r="H9" i="5"/>
  <c r="J25" i="9"/>
  <c r="I5" i="5"/>
  <c r="I104" i="9" s="1"/>
  <c r="I21" i="4" s="1"/>
  <c r="I112" i="9" s="1"/>
  <c r="G110" i="9" l="1"/>
  <c r="G108" i="9"/>
  <c r="F12" i="8"/>
  <c r="G28" i="21"/>
  <c r="E15" i="16"/>
  <c r="E35" i="16" s="1"/>
  <c r="J6" i="9"/>
  <c r="J11" i="9"/>
  <c r="J16" i="9"/>
  <c r="J21" i="9"/>
  <c r="D10" i="8"/>
  <c r="G26" i="21"/>
  <c r="G31" i="21" s="1"/>
  <c r="G32" i="21" s="1"/>
  <c r="I6" i="21"/>
  <c r="N30" i="21"/>
  <c r="M30" i="21"/>
  <c r="H82" i="9"/>
  <c r="H9" i="4" s="1"/>
  <c r="D15" i="16"/>
  <c r="D35" i="16" s="1"/>
  <c r="D22" i="8"/>
  <c r="H62" i="9"/>
  <c r="G12" i="4"/>
  <c r="I76" i="9"/>
  <c r="I63" i="9"/>
  <c r="F17" i="8" s="1"/>
  <c r="F22" i="8" s="1"/>
  <c r="K72" i="9"/>
  <c r="I89" i="9"/>
  <c r="I93" i="9" s="1"/>
  <c r="H25" i="4"/>
  <c r="H95" i="9"/>
  <c r="H87" i="9" s="1"/>
  <c r="H97" i="9"/>
  <c r="I97" i="9" s="1"/>
  <c r="I55" i="9"/>
  <c r="J55" i="9" s="1"/>
  <c r="I33" i="9"/>
  <c r="J33" i="9" s="1"/>
  <c r="G23" i="4"/>
  <c r="D9" i="8"/>
  <c r="I46" i="9"/>
  <c r="I37" i="9"/>
  <c r="I9" i="5" s="1"/>
  <c r="H59" i="9"/>
  <c r="E8" i="8"/>
  <c r="I35" i="9"/>
  <c r="H8" i="5"/>
  <c r="J36" i="9"/>
  <c r="K36" i="9" s="1"/>
  <c r="K25" i="9"/>
  <c r="J5" i="5"/>
  <c r="J104" i="9" s="1"/>
  <c r="J21" i="4" s="1"/>
  <c r="J112" i="9" s="1"/>
  <c r="H108" i="9" l="1"/>
  <c r="G12" i="8"/>
  <c r="D36" i="16"/>
  <c r="H28" i="21"/>
  <c r="K11" i="9"/>
  <c r="K21" i="9"/>
  <c r="K16" i="9"/>
  <c r="K5" i="5"/>
  <c r="K104" i="9" s="1"/>
  <c r="K21" i="4" s="1"/>
  <c r="K112" i="9" s="1"/>
  <c r="K6" i="9"/>
  <c r="H17" i="21"/>
  <c r="G27" i="21"/>
  <c r="G23" i="21"/>
  <c r="G11" i="21"/>
  <c r="G7" i="21"/>
  <c r="G13" i="21"/>
  <c r="G20" i="21"/>
  <c r="G12" i="21"/>
  <c r="J6" i="21"/>
  <c r="E10" i="8"/>
  <c r="I82" i="9"/>
  <c r="I9" i="4" s="1"/>
  <c r="I25" i="21"/>
  <c r="I30" i="21" s="1"/>
  <c r="H65" i="9"/>
  <c r="H68" i="9" s="1"/>
  <c r="D31" i="16"/>
  <c r="G14" i="5"/>
  <c r="D11" i="16"/>
  <c r="D12" i="16" s="1"/>
  <c r="D13" i="16" s="1"/>
  <c r="D17" i="16" s="1"/>
  <c r="D18" i="16" s="1"/>
  <c r="H100" i="9"/>
  <c r="H101" i="9" s="1"/>
  <c r="H20" i="4" s="1"/>
  <c r="H111" i="9" s="1"/>
  <c r="J76" i="9"/>
  <c r="J63" i="9"/>
  <c r="G17" i="8" s="1"/>
  <c r="G22" i="8" s="1"/>
  <c r="I95" i="9"/>
  <c r="I96" i="9" s="1"/>
  <c r="I12" i="5" s="1"/>
  <c r="I7" i="5"/>
  <c r="J97" i="9"/>
  <c r="K97" i="9" s="1"/>
  <c r="J89" i="9"/>
  <c r="J93" i="9" s="1"/>
  <c r="I25" i="4"/>
  <c r="H96" i="9"/>
  <c r="H12" i="5" s="1"/>
  <c r="H85" i="9"/>
  <c r="H86" i="9"/>
  <c r="I54" i="9"/>
  <c r="F7" i="8" s="1"/>
  <c r="F15" i="16" s="1"/>
  <c r="F35" i="16" s="1"/>
  <c r="K55" i="9"/>
  <c r="J37" i="9"/>
  <c r="J9" i="5" s="1"/>
  <c r="J54" i="9"/>
  <c r="G7" i="8" s="1"/>
  <c r="J46" i="9"/>
  <c r="H11" i="4"/>
  <c r="I53" i="9"/>
  <c r="K33" i="9"/>
  <c r="K7" i="5" s="1"/>
  <c r="J7" i="5"/>
  <c r="J35" i="9"/>
  <c r="I8" i="5"/>
  <c r="F10" i="8" l="1"/>
  <c r="I108" i="9"/>
  <c r="H12" i="8"/>
  <c r="I87" i="9"/>
  <c r="I85" i="9" s="1"/>
  <c r="I28" i="21"/>
  <c r="K76" i="9"/>
  <c r="K82" i="9" s="1"/>
  <c r="K9" i="4" s="1"/>
  <c r="K46" i="9"/>
  <c r="K63" i="9"/>
  <c r="H17" i="8" s="1"/>
  <c r="H22" i="8" s="1"/>
  <c r="K54" i="9"/>
  <c r="H7" i="8" s="1"/>
  <c r="K6" i="21"/>
  <c r="M6" i="21" s="1"/>
  <c r="G8" i="21"/>
  <c r="G14" i="21"/>
  <c r="I17" i="21"/>
  <c r="J82" i="9"/>
  <c r="J9" i="4" s="1"/>
  <c r="J25" i="21"/>
  <c r="G41" i="9"/>
  <c r="G42" i="9" s="1"/>
  <c r="G15" i="5" s="1"/>
  <c r="I100" i="9"/>
  <c r="I101" i="9" s="1"/>
  <c r="I20" i="4" s="1"/>
  <c r="I111" i="9" s="1"/>
  <c r="D32" i="16"/>
  <c r="D33" i="16" s="1"/>
  <c r="D38" i="16" s="1"/>
  <c r="D39" i="16" s="1"/>
  <c r="H48" i="9"/>
  <c r="H18" i="21" s="1"/>
  <c r="E14" i="16"/>
  <c r="E34" i="16" s="1"/>
  <c r="I62" i="9"/>
  <c r="H12" i="4"/>
  <c r="E11" i="8"/>
  <c r="G15" i="16"/>
  <c r="G35" i="16" s="1"/>
  <c r="K37" i="9"/>
  <c r="K9" i="5" s="1"/>
  <c r="K89" i="9"/>
  <c r="K93" i="9" s="1"/>
  <c r="J25" i="4"/>
  <c r="J95" i="9"/>
  <c r="J96" i="9" s="1"/>
  <c r="J12" i="5" s="1"/>
  <c r="H27" i="4"/>
  <c r="I56" i="9"/>
  <c r="K35" i="9"/>
  <c r="K8" i="5" s="1"/>
  <c r="J8" i="5"/>
  <c r="I86" i="9" l="1"/>
  <c r="I27" i="4" s="1"/>
  <c r="J108" i="9"/>
  <c r="K108" i="9"/>
  <c r="J87" i="9"/>
  <c r="J28" i="21"/>
  <c r="J100" i="9"/>
  <c r="J101" i="9" s="1"/>
  <c r="J20" i="4" s="1"/>
  <c r="N6" i="21"/>
  <c r="H15" i="16"/>
  <c r="H35" i="16" s="1"/>
  <c r="K25" i="21"/>
  <c r="K30" i="21" s="1"/>
  <c r="J17" i="21"/>
  <c r="K17" i="21"/>
  <c r="H27" i="21"/>
  <c r="H10" i="8"/>
  <c r="J30" i="21"/>
  <c r="G10" i="8"/>
  <c r="I49" i="9"/>
  <c r="F8" i="8" s="1"/>
  <c r="E13" i="8"/>
  <c r="H50" i="9"/>
  <c r="I65" i="9"/>
  <c r="I48" i="9" s="1"/>
  <c r="K100" i="9"/>
  <c r="K101" i="9" s="1"/>
  <c r="K20" i="4" s="1"/>
  <c r="K111" i="9" s="1"/>
  <c r="F11" i="8"/>
  <c r="G16" i="5"/>
  <c r="K95" i="9"/>
  <c r="K25" i="4"/>
  <c r="J85" i="9"/>
  <c r="J86" i="9"/>
  <c r="J27" i="4" s="1"/>
  <c r="I59" i="9"/>
  <c r="G11" i="8" l="1"/>
  <c r="J111" i="9"/>
  <c r="G18" i="5"/>
  <c r="G19" i="5"/>
  <c r="K28" i="21"/>
  <c r="N28" i="21" s="1"/>
  <c r="N25" i="21"/>
  <c r="M25" i="21"/>
  <c r="M17" i="21"/>
  <c r="N17" i="21"/>
  <c r="G9" i="21"/>
  <c r="G21" i="21"/>
  <c r="G22" i="21" s="1"/>
  <c r="G15" i="21"/>
  <c r="I68" i="9"/>
  <c r="J62" i="9" s="1"/>
  <c r="I18" i="21"/>
  <c r="G31" i="4"/>
  <c r="D6" i="8"/>
  <c r="D14" i="8" s="1"/>
  <c r="D32" i="8" s="1"/>
  <c r="D34" i="8" s="1"/>
  <c r="H11" i="8"/>
  <c r="F13" i="8"/>
  <c r="I50" i="9"/>
  <c r="H6" i="5"/>
  <c r="H71" i="9"/>
  <c r="H19" i="4" s="1"/>
  <c r="H110" i="9" s="1"/>
  <c r="F14" i="16"/>
  <c r="F34" i="16" s="1"/>
  <c r="K87" i="9"/>
  <c r="K96" i="9"/>
  <c r="K12" i="5" s="1"/>
  <c r="J53" i="9"/>
  <c r="J56" i="9" s="1"/>
  <c r="I11" i="4"/>
  <c r="M28" i="21" l="1"/>
  <c r="I12" i="4"/>
  <c r="H26" i="21"/>
  <c r="H31" i="21" s="1"/>
  <c r="I6" i="5"/>
  <c r="I10" i="5" s="1"/>
  <c r="H10" i="5"/>
  <c r="E33" i="8"/>
  <c r="G7" i="4"/>
  <c r="I71" i="9"/>
  <c r="I19" i="4" s="1"/>
  <c r="G32" i="4"/>
  <c r="E9" i="8"/>
  <c r="E36" i="16" s="1"/>
  <c r="H23" i="4"/>
  <c r="J65" i="9"/>
  <c r="J48" i="9" s="1"/>
  <c r="K86" i="9"/>
  <c r="K27" i="4" s="1"/>
  <c r="K85" i="9"/>
  <c r="J59" i="9"/>
  <c r="J49" i="9"/>
  <c r="I110" i="9" l="1"/>
  <c r="I27" i="21"/>
  <c r="H23" i="21"/>
  <c r="H20" i="21"/>
  <c r="H11" i="21"/>
  <c r="H12" i="21"/>
  <c r="H7" i="21"/>
  <c r="H13" i="21"/>
  <c r="H32" i="21"/>
  <c r="N31" i="21"/>
  <c r="M31" i="21"/>
  <c r="J18" i="21"/>
  <c r="I20" i="21"/>
  <c r="I12" i="21"/>
  <c r="I23" i="21"/>
  <c r="I11" i="21"/>
  <c r="I7" i="21"/>
  <c r="I13" i="21"/>
  <c r="I26" i="21"/>
  <c r="J68" i="9"/>
  <c r="J12" i="4" s="1"/>
  <c r="F9" i="8"/>
  <c r="F36" i="16" s="1"/>
  <c r="I23" i="4"/>
  <c r="G10" i="4"/>
  <c r="E31" i="16"/>
  <c r="E32" i="16" s="1"/>
  <c r="E33" i="16" s="1"/>
  <c r="E38" i="16" s="1"/>
  <c r="E39" i="16" s="1"/>
  <c r="E11" i="16"/>
  <c r="E12" i="16" s="1"/>
  <c r="E13" i="16" s="1"/>
  <c r="E17" i="16" s="1"/>
  <c r="E18" i="16" s="1"/>
  <c r="H14" i="5"/>
  <c r="G13" i="8"/>
  <c r="J50" i="9"/>
  <c r="G14" i="16"/>
  <c r="G34" i="16" s="1"/>
  <c r="G33" i="4"/>
  <c r="I14" i="5"/>
  <c r="F31" i="16"/>
  <c r="F11" i="16"/>
  <c r="F12" i="16" s="1"/>
  <c r="F13" i="16" s="1"/>
  <c r="G8" i="8"/>
  <c r="K53" i="9"/>
  <c r="K56" i="9" s="1"/>
  <c r="J11" i="4"/>
  <c r="N32" i="21" l="1"/>
  <c r="M32" i="21"/>
  <c r="H8" i="21"/>
  <c r="H14" i="21"/>
  <c r="I31" i="21"/>
  <c r="I32" i="21" s="1"/>
  <c r="J27" i="21"/>
  <c r="I8" i="21"/>
  <c r="I14" i="21"/>
  <c r="K62" i="9"/>
  <c r="K65" i="9" s="1"/>
  <c r="K48" i="9" s="1"/>
  <c r="F17" i="16"/>
  <c r="F18" i="16" s="1"/>
  <c r="H41" i="9"/>
  <c r="H42" i="9" s="1"/>
  <c r="H15" i="5" s="1"/>
  <c r="F32" i="16"/>
  <c r="F33" i="16" s="1"/>
  <c r="F38" i="16" s="1"/>
  <c r="F39" i="16" s="1"/>
  <c r="I41" i="9"/>
  <c r="I42" i="9" s="1"/>
  <c r="I15" i="5" s="1"/>
  <c r="G14" i="4"/>
  <c r="J6" i="5"/>
  <c r="J71" i="9"/>
  <c r="J19" i="4" s="1"/>
  <c r="K59" i="9"/>
  <c r="K11" i="4" s="1"/>
  <c r="K49" i="9"/>
  <c r="J110" i="9" l="1"/>
  <c r="J26" i="21"/>
  <c r="K18" i="21"/>
  <c r="J10" i="5"/>
  <c r="H14" i="16"/>
  <c r="H34" i="16" s="1"/>
  <c r="G35" i="4"/>
  <c r="I16" i="5"/>
  <c r="H16" i="5"/>
  <c r="H13" i="8"/>
  <c r="K50" i="9"/>
  <c r="K68" i="9"/>
  <c r="K12" i="4" s="1"/>
  <c r="J23" i="4"/>
  <c r="G9" i="8"/>
  <c r="H8" i="8"/>
  <c r="I18" i="5" l="1"/>
  <c r="I19" i="5"/>
  <c r="H18" i="5"/>
  <c r="H19" i="5"/>
  <c r="H21" i="21"/>
  <c r="H22" i="21" s="1"/>
  <c r="H15" i="21"/>
  <c r="H9" i="21"/>
  <c r="J7" i="21"/>
  <c r="J13" i="21"/>
  <c r="J20" i="21"/>
  <c r="J12" i="21"/>
  <c r="J23" i="21"/>
  <c r="J11" i="21"/>
  <c r="K27" i="21"/>
  <c r="M18" i="21"/>
  <c r="N18" i="21"/>
  <c r="J31" i="21"/>
  <c r="J32" i="21" s="1"/>
  <c r="I9" i="21"/>
  <c r="I21" i="21"/>
  <c r="I15" i="21"/>
  <c r="J14" i="5"/>
  <c r="G31" i="16"/>
  <c r="G32" i="16" s="1"/>
  <c r="G33" i="16" s="1"/>
  <c r="G11" i="16"/>
  <c r="G12" i="16" s="1"/>
  <c r="G13" i="16" s="1"/>
  <c r="G17" i="16" s="1"/>
  <c r="E6" i="8"/>
  <c r="E14" i="8" s="1"/>
  <c r="E32" i="8" s="1"/>
  <c r="E34" i="8" s="1"/>
  <c r="H31" i="4"/>
  <c r="I31" i="4" s="1"/>
  <c r="F6" i="8"/>
  <c r="F14" i="8" s="1"/>
  <c r="F32" i="8" s="1"/>
  <c r="K6" i="5"/>
  <c r="K71" i="9"/>
  <c r="K19" i="4" s="1"/>
  <c r="K110" i="9" l="1"/>
  <c r="K26" i="21"/>
  <c r="K31" i="21" s="1"/>
  <c r="K32" i="21" s="1"/>
  <c r="M27" i="21"/>
  <c r="N27" i="21"/>
  <c r="J8" i="21"/>
  <c r="J14" i="21"/>
  <c r="I22" i="21"/>
  <c r="J41" i="9"/>
  <c r="J42" i="9" s="1"/>
  <c r="J15" i="5" s="1"/>
  <c r="I32" i="4"/>
  <c r="H32" i="4"/>
  <c r="K10" i="5"/>
  <c r="F33" i="8"/>
  <c r="F34" i="8" s="1"/>
  <c r="H7" i="4"/>
  <c r="G36" i="16"/>
  <c r="G38" i="16" s="1"/>
  <c r="G18" i="16"/>
  <c r="H9" i="8"/>
  <c r="K23" i="4"/>
  <c r="M26" i="21" l="1"/>
  <c r="N26" i="21"/>
  <c r="K7" i="21"/>
  <c r="K13" i="21"/>
  <c r="K20" i="21"/>
  <c r="K12" i="21"/>
  <c r="K23" i="21"/>
  <c r="K11" i="21"/>
  <c r="G33" i="8"/>
  <c r="I7" i="4"/>
  <c r="H10" i="4"/>
  <c r="K14" i="5"/>
  <c r="H31" i="16"/>
  <c r="H32" i="16" s="1"/>
  <c r="H33" i="16" s="1"/>
  <c r="H11" i="16"/>
  <c r="H12" i="16" s="1"/>
  <c r="H13" i="16" s="1"/>
  <c r="H17" i="16" s="1"/>
  <c r="L11" i="16" s="1"/>
  <c r="J16" i="5"/>
  <c r="G39" i="16"/>
  <c r="I33" i="4"/>
  <c r="H33" i="4"/>
  <c r="J18" i="5" l="1"/>
  <c r="J19" i="5"/>
  <c r="J9" i="21"/>
  <c r="J21" i="21"/>
  <c r="J15" i="21"/>
  <c r="M11" i="21"/>
  <c r="N11" i="21"/>
  <c r="M23" i="21"/>
  <c r="N23" i="21"/>
  <c r="M12" i="21"/>
  <c r="N12" i="21"/>
  <c r="K8" i="21"/>
  <c r="K14" i="21"/>
  <c r="N20" i="21"/>
  <c r="M20" i="21"/>
  <c r="N13" i="21"/>
  <c r="M13" i="21"/>
  <c r="N7" i="21"/>
  <c r="M7" i="21"/>
  <c r="G6" i="8"/>
  <c r="G14" i="8" s="1"/>
  <c r="G32" i="8" s="1"/>
  <c r="G34" i="8" s="1"/>
  <c r="J31" i="4"/>
  <c r="H14" i="4"/>
  <c r="K41" i="9"/>
  <c r="K42" i="9" s="1"/>
  <c r="K15" i="5" s="1"/>
  <c r="I10" i="4"/>
  <c r="H36" i="16"/>
  <c r="H38" i="16" s="1"/>
  <c r="M14" i="21" l="1"/>
  <c r="N14" i="21"/>
  <c r="M8" i="21"/>
  <c r="N8" i="21"/>
  <c r="J22" i="21"/>
  <c r="I14" i="4"/>
  <c r="H33" i="8"/>
  <c r="J7" i="4"/>
  <c r="K16" i="5"/>
  <c r="H35" i="4"/>
  <c r="J32" i="4"/>
  <c r="H18" i="16"/>
  <c r="L12" i="16"/>
  <c r="L31" i="16"/>
  <c r="L32" i="16" s="1"/>
  <c r="H39" i="16"/>
  <c r="K31" i="4" l="1"/>
  <c r="K32" i="4" s="1"/>
  <c r="K18" i="5"/>
  <c r="K19" i="5"/>
  <c r="K9" i="21"/>
  <c r="K21" i="21"/>
  <c r="K15" i="21"/>
  <c r="J33" i="4"/>
  <c r="H6" i="8"/>
  <c r="H14" i="8" s="1"/>
  <c r="H32" i="8" s="1"/>
  <c r="H34" i="8" s="1"/>
  <c r="K7" i="4" s="1"/>
  <c r="J10" i="4"/>
  <c r="I35" i="4"/>
  <c r="L34" i="16"/>
  <c r="L37" i="16" s="1"/>
  <c r="L41" i="16" s="1" a="1"/>
  <c r="L41" i="16" s="1"/>
  <c r="L14" i="16"/>
  <c r="L19" i="16" l="1"/>
  <c r="L21" i="16" s="1"/>
  <c r="M9" i="21"/>
  <c r="N9" i="21"/>
  <c r="N15" i="21"/>
  <c r="M15" i="21"/>
  <c r="K22" i="21"/>
  <c r="N21" i="21"/>
  <c r="M21" i="21"/>
  <c r="K10" i="4"/>
  <c r="K33" i="4"/>
  <c r="J14" i="4"/>
  <c r="D43" i="16"/>
  <c r="L25" i="16" l="1" a="1"/>
  <c r="L25" i="16" s="1"/>
  <c r="D22" i="16"/>
  <c r="N22" i="21"/>
  <c r="M22" i="21"/>
  <c r="J35" i="4"/>
  <c r="K14" i="4"/>
  <c r="K35" i="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02446D-4DAB-473C-A609-91095D5E4734}" keepAlive="1" name="ModelConnection_ExternalData_1" description="Data Model" type="5" refreshedVersion="8" minRefreshableVersion="5" saveData="1">
    <dbPr connection="Data Model Connection" command="Table 8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EDEB96-9924-46F7-BD79-FE23A5F06F39}" keepAlive="1" name="ModelConnection_ExternalData_2" description="Data Model" type="5" refreshedVersion="8" minRefreshableVersion="5" saveData="1">
    <dbPr connection="Data Model Connection" command="Table 8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52E73ADC-C12D-42F8-A584-99BD41D0E092}" name="Query - Table 8" description="Connection to the 'Table 8' query in the workbook." type="100" refreshedVersion="8" minRefreshableVersion="5">
    <extLst>
      <ext xmlns:x15="http://schemas.microsoft.com/office/spreadsheetml/2010/11/main" uri="{DE250136-89BD-433C-8126-D09CA5730AF9}">
        <x15:connection id="74e258fa-66ce-48cc-a639-b3c82a5613aa"/>
      </ext>
    </extLst>
  </connection>
  <connection id="4" xr16:uid="{30D885EA-43CD-4C1F-AEAC-7F731CB08735}" name="Query - Table 8 (2)" description="Connection to the 'Table 8 (2)' query in the workbook." type="100" refreshedVersion="8" minRefreshableVersion="5">
    <extLst>
      <ext xmlns:x15="http://schemas.microsoft.com/office/spreadsheetml/2010/11/main" uri="{DE250136-89BD-433C-8126-D09CA5730AF9}">
        <x15:connection id="9bdcaac1-6877-450e-abfd-f3dc5967e6d6"/>
      </ext>
    </extLst>
  </connection>
  <connection id="5" xr16:uid="{42C04885-4952-4B61-86D9-241BD172E9A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<sst xmlns="http://schemas.openxmlformats.org/spreadsheetml/2006/main" count="406" uniqueCount="283">
  <si>
    <t>ASSETS</t>
  </si>
  <si>
    <t>Current assets:</t>
  </si>
  <si>
    <t>Cash and cash equivalents</t>
  </si>
  <si>
    <t>Short-term investments</t>
  </si>
  <si>
    <t>Other current assets</t>
  </si>
  <si>
    <t>Total current assets</t>
  </si>
  <si>
    <t>Content assets, net</t>
  </si>
  <si>
    <t>Property and equipment, net</t>
  </si>
  <si>
    <t>Other non-current assets</t>
  </si>
  <si>
    <t>Total assets</t>
  </si>
  <si>
    <t>LIABILITIES AND STOCKHOLDERS' EQUITY</t>
  </si>
  <si>
    <t>Current liabilities:</t>
  </si>
  <si>
    <t>Current content liabilities</t>
  </si>
  <si>
    <t>Accounts payable</t>
  </si>
  <si>
    <t>Accrued expenses and other liabilities</t>
  </si>
  <si>
    <t>Deferred revenue</t>
  </si>
  <si>
    <t>Short-term debt</t>
  </si>
  <si>
    <t>Total current liabilities</t>
  </si>
  <si>
    <t>Non-current content liabilities</t>
  </si>
  <si>
    <t>Long-term debt</t>
  </si>
  <si>
    <t>Other non-current liabilities</t>
  </si>
  <si>
    <t>Total liabilities</t>
  </si>
  <si>
    <t>Stocksholders equity</t>
  </si>
  <si>
    <t>Treasury stock</t>
  </si>
  <si>
    <t>Other comprehensive loss</t>
  </si>
  <si>
    <t>Retained earnings</t>
  </si>
  <si>
    <t>Total shareholders equity</t>
  </si>
  <si>
    <t>Revenues</t>
  </si>
  <si>
    <t>Cost of revenues</t>
  </si>
  <si>
    <t>Sales and marketing</t>
  </si>
  <si>
    <t>Technology and development</t>
  </si>
  <si>
    <t>General and administrative</t>
  </si>
  <si>
    <t>Operating income</t>
  </si>
  <si>
    <t>Other income (expense):</t>
  </si>
  <si>
    <t>Interest expense</t>
  </si>
  <si>
    <t>Interest and other income (expense)</t>
  </si>
  <si>
    <t>Income before income taxes</t>
  </si>
  <si>
    <t>Provision for income taxes</t>
  </si>
  <si>
    <t>Net income</t>
  </si>
  <si>
    <t>Earnings per share:</t>
  </si>
  <si>
    <t>Basic</t>
  </si>
  <si>
    <t>Diluted</t>
  </si>
  <si>
    <t>Total liabilities and shareholders equity</t>
  </si>
  <si>
    <t>Cash Flow from operating activities</t>
  </si>
  <si>
    <t>CFO</t>
  </si>
  <si>
    <t>Cash Flow from Investing activities</t>
  </si>
  <si>
    <t>CFI</t>
  </si>
  <si>
    <t>Cash flow from financing activities</t>
  </si>
  <si>
    <t>CFF</t>
  </si>
  <si>
    <t>Net change in cash</t>
  </si>
  <si>
    <t>Opening cash balance</t>
  </si>
  <si>
    <t>Closing Cash balance</t>
  </si>
  <si>
    <t>Year weight</t>
  </si>
  <si>
    <t>US and Canada</t>
  </si>
  <si>
    <t>EMEA</t>
  </si>
  <si>
    <t>Revenue</t>
  </si>
  <si>
    <t>Latin America</t>
  </si>
  <si>
    <t>Asia Pacific</t>
  </si>
  <si>
    <t>Paid net membership additions</t>
  </si>
  <si>
    <t>Paid memberships at end of period</t>
  </si>
  <si>
    <t>Total revenue from subscription</t>
  </si>
  <si>
    <t>Total membership additions/losses</t>
  </si>
  <si>
    <t>Total paid memberships</t>
  </si>
  <si>
    <t>Revenue growth</t>
  </si>
  <si>
    <t>Memberships growth</t>
  </si>
  <si>
    <t>SG&amp;A</t>
  </si>
  <si>
    <t>as % of sales</t>
  </si>
  <si>
    <t>Tax expense</t>
  </si>
  <si>
    <t>Tax rate</t>
  </si>
  <si>
    <t>Cost of Revenues</t>
  </si>
  <si>
    <t>COGS</t>
  </si>
  <si>
    <t>Opening balance</t>
  </si>
  <si>
    <t>+Purchase</t>
  </si>
  <si>
    <t>capex as % of sales</t>
  </si>
  <si>
    <t>-Depreciation and amortization</t>
  </si>
  <si>
    <t>Closing balance</t>
  </si>
  <si>
    <t>%  of D&amp;A</t>
  </si>
  <si>
    <t>Adjustments</t>
  </si>
  <si>
    <t>Additions to content assets</t>
  </si>
  <si>
    <t>Amortization</t>
  </si>
  <si>
    <t>cogs as % of sales</t>
  </si>
  <si>
    <t>Accounts Payable</t>
  </si>
  <si>
    <t>Payables</t>
  </si>
  <si>
    <t>Turnover ratio</t>
  </si>
  <si>
    <t>Payable Days</t>
  </si>
  <si>
    <t>Accounts payables</t>
  </si>
  <si>
    <t>Trade receivables</t>
  </si>
  <si>
    <t>Prepaid expenses</t>
  </si>
  <si>
    <t xml:space="preserve">Other </t>
  </si>
  <si>
    <t>Receivable turnover</t>
  </si>
  <si>
    <t>Receivable days</t>
  </si>
  <si>
    <t>Debt Schedule</t>
  </si>
  <si>
    <t>Short term debt</t>
  </si>
  <si>
    <t>Long term debt</t>
  </si>
  <si>
    <t>Opening</t>
  </si>
  <si>
    <t>+Additions</t>
  </si>
  <si>
    <t>-Repayments</t>
  </si>
  <si>
    <t>Closing</t>
  </si>
  <si>
    <t>Average debt</t>
  </si>
  <si>
    <t xml:space="preserve">Interest </t>
  </si>
  <si>
    <t>rate of interest</t>
  </si>
  <si>
    <t>Repayment of borrowings</t>
  </si>
  <si>
    <t>Content Assets schedule</t>
  </si>
  <si>
    <t>PP&amp;E Schedule</t>
  </si>
  <si>
    <t>PPE Additions</t>
  </si>
  <si>
    <t>PPE Depreciation</t>
  </si>
  <si>
    <t>Depreciation</t>
  </si>
  <si>
    <t>Weighted Average Cost of Capital</t>
  </si>
  <si>
    <t>Equity</t>
  </si>
  <si>
    <t>Average</t>
  </si>
  <si>
    <t>Median</t>
  </si>
  <si>
    <t>Cost of Debt</t>
  </si>
  <si>
    <t>Cost of Equity</t>
  </si>
  <si>
    <t>Pre-tax cost of debt</t>
  </si>
  <si>
    <t>Risk free rate</t>
  </si>
  <si>
    <t>Tax</t>
  </si>
  <si>
    <t>Equity risk premium</t>
  </si>
  <si>
    <t>Post- tax cost of debt</t>
  </si>
  <si>
    <t>Beta</t>
  </si>
  <si>
    <t>Market Capitalization</t>
  </si>
  <si>
    <t>Total Capital</t>
  </si>
  <si>
    <t>Equity Weight</t>
  </si>
  <si>
    <t>Debt Weight</t>
  </si>
  <si>
    <t>WACC</t>
  </si>
  <si>
    <t>All figures are in million dollars stated otherwise</t>
  </si>
  <si>
    <t>NASDAQ</t>
  </si>
  <si>
    <t>Date</t>
  </si>
  <si>
    <t>Price</t>
  </si>
  <si>
    <t>Change %</t>
  </si>
  <si>
    <t>NETFLIX</t>
  </si>
  <si>
    <t>Levered Raw Beta</t>
  </si>
  <si>
    <t>Raw Beta Weight</t>
  </si>
  <si>
    <t>Market Beta</t>
  </si>
  <si>
    <t>Market Beta Weight</t>
  </si>
  <si>
    <t>Adjusted Beta</t>
  </si>
  <si>
    <t>NETFLIX Beta Drifting</t>
  </si>
  <si>
    <t>Weekly</t>
  </si>
  <si>
    <t>LTGR</t>
  </si>
  <si>
    <t>Year</t>
  </si>
  <si>
    <t xml:space="preserve">Year Weight </t>
  </si>
  <si>
    <t>EBIT</t>
  </si>
  <si>
    <t>NOPAT</t>
  </si>
  <si>
    <t>D&amp;A</t>
  </si>
  <si>
    <t>Capex</t>
  </si>
  <si>
    <t>Change in WC</t>
  </si>
  <si>
    <t>FCF</t>
  </si>
  <si>
    <t>Perpetuity Growth Model</t>
  </si>
  <si>
    <t>Terminal Value</t>
  </si>
  <si>
    <t>Enterprise value</t>
  </si>
  <si>
    <t>-Debt</t>
  </si>
  <si>
    <t>-NCI</t>
  </si>
  <si>
    <t>+Cash</t>
  </si>
  <si>
    <t>+Investments</t>
  </si>
  <si>
    <t>Equity Value</t>
  </si>
  <si>
    <t>No.of Shares</t>
  </si>
  <si>
    <t>PV of TV</t>
  </si>
  <si>
    <t>Check</t>
  </si>
  <si>
    <t>Intrinsic value</t>
  </si>
  <si>
    <t>CMP</t>
  </si>
  <si>
    <t>Valuation</t>
  </si>
  <si>
    <t>Free Cash Flow To Equity</t>
  </si>
  <si>
    <t>Free Cash Flow To Firm</t>
  </si>
  <si>
    <t>PV of FCF</t>
  </si>
  <si>
    <t>Sensitivity Analysis</t>
  </si>
  <si>
    <t>Equity value</t>
  </si>
  <si>
    <t>Share buyback</t>
  </si>
  <si>
    <t>Issuance of debt</t>
  </si>
  <si>
    <t>Issuance of common stock</t>
  </si>
  <si>
    <t>Acquisitions</t>
  </si>
  <si>
    <t>Purchases of investments</t>
  </si>
  <si>
    <t>Maturities of investments</t>
  </si>
  <si>
    <t>Operating expenses</t>
  </si>
  <si>
    <t>AE&amp;O</t>
  </si>
  <si>
    <t>as % of operating expenses</t>
  </si>
  <si>
    <t>Net borrowing</t>
  </si>
  <si>
    <t>Assumptions &amp; Schedules</t>
  </si>
  <si>
    <t>Operating margin</t>
  </si>
  <si>
    <t>Return on Capital Employed</t>
  </si>
  <si>
    <t>Enterprise Value</t>
  </si>
  <si>
    <t>Debt</t>
  </si>
  <si>
    <t>Cash</t>
  </si>
  <si>
    <t>EV/SALES</t>
  </si>
  <si>
    <t>Book value</t>
  </si>
  <si>
    <t>Shareholders equity</t>
  </si>
  <si>
    <t>Company</t>
  </si>
  <si>
    <t>Net Profit</t>
  </si>
  <si>
    <t>Income Statement</t>
  </si>
  <si>
    <t>Balance Sheet</t>
  </si>
  <si>
    <t>To be forecasted</t>
  </si>
  <si>
    <t>Trend</t>
  </si>
  <si>
    <t>Mean</t>
  </si>
  <si>
    <t>Sales growth</t>
  </si>
  <si>
    <t>EBITDA growth</t>
  </si>
  <si>
    <t>EBIT growth</t>
  </si>
  <si>
    <t>Net profit growth</t>
  </si>
  <si>
    <t>EBITDA margin</t>
  </si>
  <si>
    <t>EBIT margin</t>
  </si>
  <si>
    <t>EBT margin</t>
  </si>
  <si>
    <t>Net Profit Margin</t>
  </si>
  <si>
    <t>Depreciation as % of sales</t>
  </si>
  <si>
    <t>Return on Equity%</t>
  </si>
  <si>
    <t>Self Sustained Growth Rate</t>
  </si>
  <si>
    <t>Interest Coverage Ratio</t>
  </si>
  <si>
    <t>Debtor Turnover Ratio</t>
  </si>
  <si>
    <t>Creditor Turnover Ratio</t>
  </si>
  <si>
    <t>Fixed Asset Turnover</t>
  </si>
  <si>
    <t>Capital Turnover Ratio</t>
  </si>
  <si>
    <t>Debtor Days</t>
  </si>
  <si>
    <t>Cash Conversion Cycle days</t>
  </si>
  <si>
    <t>SG&amp;A as % of sales</t>
  </si>
  <si>
    <t>P/E</t>
  </si>
  <si>
    <t>EV/EBITDA</t>
  </si>
  <si>
    <t>Ticker</t>
  </si>
  <si>
    <t>Shares O/S</t>
  </si>
  <si>
    <t>Net Debt</t>
  </si>
  <si>
    <t>Market Data</t>
  </si>
  <si>
    <t xml:space="preserve">Revenue </t>
  </si>
  <si>
    <t>EBITDA</t>
  </si>
  <si>
    <t>Net Income</t>
  </si>
  <si>
    <t>Warner bros Discovery</t>
  </si>
  <si>
    <t>Walt Disney Company</t>
  </si>
  <si>
    <t>WBD</t>
  </si>
  <si>
    <t>DIS</t>
  </si>
  <si>
    <t>Netflix,Inc</t>
  </si>
  <si>
    <t>NFLX</t>
  </si>
  <si>
    <t>High</t>
  </si>
  <si>
    <t>75th Percentile</t>
  </si>
  <si>
    <t>25th percentile</t>
  </si>
  <si>
    <t>Low</t>
  </si>
  <si>
    <t>EV/Revenue</t>
  </si>
  <si>
    <t>NETFLIX,inc Valuation</t>
  </si>
  <si>
    <t>Implied Enterprise Value</t>
  </si>
  <si>
    <t>Implied Market Value</t>
  </si>
  <si>
    <t>Implied Value per Share</t>
  </si>
  <si>
    <t>Share buybacks</t>
  </si>
  <si>
    <t>Shares reduced due to buyback</t>
  </si>
  <si>
    <t>Employee stock options</t>
  </si>
  <si>
    <t>Weighted-average shares(millions)</t>
  </si>
  <si>
    <t>Deferred Revenue</t>
  </si>
  <si>
    <t>as % of revenue</t>
  </si>
  <si>
    <t>Working capital</t>
  </si>
  <si>
    <t>Change in working capital</t>
  </si>
  <si>
    <t>Discounted Cash Flow</t>
  </si>
  <si>
    <t>Netflix Capital Structure</t>
  </si>
  <si>
    <t>Weekly Historical Price</t>
  </si>
  <si>
    <t>Regression Beta</t>
  </si>
  <si>
    <t>Parameter</t>
  </si>
  <si>
    <t>Value</t>
  </si>
  <si>
    <t>Data Period</t>
  </si>
  <si>
    <t>Frequency</t>
  </si>
  <si>
    <t>Market Index</t>
  </si>
  <si>
    <t>Raw Regression Beta (Levered)</t>
  </si>
  <si>
    <t>Blume Adjustment Formula</t>
  </si>
  <si>
    <t>0.75 × Raw Beta + 0.25 × 1.0</t>
  </si>
  <si>
    <t>Adjusted Beta (Blume Formula)</t>
  </si>
  <si>
    <t>Interpretation</t>
  </si>
  <si>
    <t>January 1, 2024 – December 31, 2025</t>
  </si>
  <si>
    <t xml:space="preserve">NASDAQ </t>
  </si>
  <si>
    <t xml:space="preserve">R-squared </t>
  </si>
  <si>
    <t>Netflix moves 0.92% for every 1% move in the market.</t>
  </si>
  <si>
    <t>Regression Beta Methodology and Results</t>
  </si>
  <si>
    <t>Raw BETA</t>
  </si>
  <si>
    <t>$90.53</t>
  </si>
  <si>
    <t>as on 9th Jan,2026</t>
  </si>
  <si>
    <t>Financials(TTM)</t>
  </si>
  <si>
    <t>Comparable Company Analysis</t>
  </si>
  <si>
    <t>Average Shareholders Equity</t>
  </si>
  <si>
    <t>Return On Equity</t>
  </si>
  <si>
    <t>Return On Equity(ROE)</t>
  </si>
  <si>
    <t>ROE - Dupont Equation</t>
  </si>
  <si>
    <t>Average Total Assets</t>
  </si>
  <si>
    <t>Net Profit Margin(A)</t>
  </si>
  <si>
    <t>Assets turnover ratio(B)</t>
  </si>
  <si>
    <t>Equity Multiplier(C)</t>
  </si>
  <si>
    <t>Return On Equity(A*B*C)</t>
  </si>
  <si>
    <t>Return on Asset</t>
  </si>
  <si>
    <t>ROA - Dupont Equation</t>
  </si>
  <si>
    <t>Net Profit Margin (A)</t>
  </si>
  <si>
    <t>Average Total Asset</t>
  </si>
  <si>
    <t>Asset Turnover Ratio (B)</t>
  </si>
  <si>
    <t>Return on Asset (A*B)</t>
  </si>
  <si>
    <t>#Figures for CCA in Billion Dollars except per share value</t>
  </si>
  <si>
    <t>Cash Flow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</si>
</sst>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#,##0;\(#,##0\);\-"/>
    <numFmt numFmtId="165" formatCode="0\-\A"/>
    <numFmt numFmtId="166" formatCode="0\-\F"/>
    <numFmt numFmtId="167" formatCode="#,##0.00;\(#,##0.00\);\-"/>
    <numFmt numFmtId="168" formatCode="0\x"/>
    <numFmt numFmtId="169" formatCode="0.00\x"/>
    <numFmt numFmtId="170" formatCode="0.0"/>
  </numFmts>
  <fonts count="1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4"/>
      <name val="Calibri"/>
      <family val="2"/>
    </font>
    <font>
      <i/>
      <sz val="10"/>
      <color theme="0" tint="-0.499984740745262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i/>
      <sz val="10"/>
      <color theme="1"/>
      <name val="Calibri"/>
      <family val="2"/>
    </font>
    <font>
      <sz val="11"/>
      <color rgb="FF232526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232526"/>
      <name val="Calibri"/>
      <family val="2"/>
      <scheme val="minor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i/>
      <sz val="9"/>
      <color theme="0" tint="-0.499984740745262"/>
      <name val="Calibri"/>
      <family val="2"/>
    </font>
    <font>
      <b/>
      <u/>
      <sz val="11"/>
      <color theme="1"/>
      <name val="Calibri"/>
      <family val="2"/>
    </font>
    <font>
      <b/>
      <i/>
      <sz val="8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2" applyNumberFormat="0" applyFill="0" applyAlignment="0" applyProtection="0"/>
    <xf numFmtId="43" fontId="1" fillId="0" borderId="0" applyFont="0" applyFill="0" applyBorder="0" applyAlignment="0" applyProtection="0"/>
  </cellStyleXfs>
  <cellXfs count="140">
    <xf numFmtId="0" fontId="0" fillId="0" borderId="0" xfId="0"/>
    <xf numFmtId="164" fontId="0" fillId="0" borderId="0" xfId="0" applyNumberFormat="1"/>
    <xf numFmtId="164" fontId="4" fillId="0" borderId="0" xfId="0" applyNumberFormat="1" applyFont="1"/>
    <xf numFmtId="0" fontId="5" fillId="0" borderId="0" xfId="0" applyFont="1"/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0" fontId="2" fillId="0" borderId="3" xfId="0" applyFont="1" applyBorder="1"/>
    <xf numFmtId="164" fontId="8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/>
    </xf>
    <xf numFmtId="164" fontId="6" fillId="0" borderId="2" xfId="2" applyNumberFormat="1"/>
    <xf numFmtId="3" fontId="5" fillId="0" borderId="0" xfId="0" applyNumberFormat="1" applyFont="1" applyAlignment="1">
      <alignment horizontal="center" vertical="center"/>
    </xf>
    <xf numFmtId="10" fontId="4" fillId="0" borderId="0" xfId="1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0" fontId="4" fillId="0" borderId="0" xfId="1" applyNumberFormat="1" applyFont="1" applyAlignment="1">
      <alignment horizontal="right"/>
    </xf>
    <xf numFmtId="10" fontId="4" fillId="0" borderId="0" xfId="1" applyNumberFormat="1" applyFont="1" applyAlignment="1"/>
    <xf numFmtId="164" fontId="0" fillId="0" borderId="0" xfId="0" quotePrefix="1" applyNumberFormat="1"/>
    <xf numFmtId="164" fontId="7" fillId="0" borderId="0" xfId="0" applyNumberFormat="1" applyFont="1" applyAlignment="1">
      <alignment horizontal="center"/>
    </xf>
    <xf numFmtId="164" fontId="8" fillId="0" borderId="3" xfId="0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164" fontId="0" fillId="2" borderId="0" xfId="0" applyNumberFormat="1" applyFill="1"/>
    <xf numFmtId="167" fontId="0" fillId="2" borderId="0" xfId="0" applyNumberFormat="1" applyFill="1" applyAlignment="1">
      <alignment horizontal="center"/>
    </xf>
    <xf numFmtId="10" fontId="0" fillId="0" borderId="0" xfId="1" applyNumberFormat="1" applyFont="1" applyAlignment="1">
      <alignment horizontal="center"/>
    </xf>
    <xf numFmtId="0" fontId="10" fillId="0" borderId="0" xfId="0" applyFont="1"/>
    <xf numFmtId="2" fontId="0" fillId="0" borderId="0" xfId="0" applyNumberFormat="1"/>
    <xf numFmtId="0" fontId="0" fillId="0" borderId="5" xfId="0" applyBorder="1"/>
    <xf numFmtId="0" fontId="2" fillId="0" borderId="5" xfId="0" applyFont="1" applyBorder="1"/>
    <xf numFmtId="10" fontId="0" fillId="0" borderId="0" xfId="1" applyNumberFormat="1" applyFont="1"/>
    <xf numFmtId="10" fontId="3" fillId="0" borderId="0" xfId="0" applyNumberFormat="1" applyFont="1"/>
    <xf numFmtId="10" fontId="0" fillId="0" borderId="0" xfId="0" applyNumberFormat="1"/>
    <xf numFmtId="0" fontId="0" fillId="0" borderId="6" xfId="0" applyBorder="1"/>
    <xf numFmtId="10" fontId="0" fillId="0" borderId="6" xfId="0" applyNumberFormat="1" applyBorder="1"/>
    <xf numFmtId="0" fontId="2" fillId="0" borderId="7" xfId="0" applyFont="1" applyBorder="1"/>
    <xf numFmtId="10" fontId="2" fillId="0" borderId="7" xfId="0" applyNumberFormat="1" applyFont="1" applyBorder="1"/>
    <xf numFmtId="14" fontId="0" fillId="0" borderId="0" xfId="0" applyNumberFormat="1"/>
    <xf numFmtId="14" fontId="11" fillId="0" borderId="0" xfId="0" applyNumberFormat="1" applyFont="1" applyAlignment="1">
      <alignment horizontal="left" vertical="center"/>
    </xf>
    <xf numFmtId="10" fontId="0" fillId="0" borderId="0" xfId="1" applyNumberFormat="1" applyFont="1" applyFill="1"/>
    <xf numFmtId="0" fontId="2" fillId="5" borderId="0" xfId="0" applyFont="1" applyFill="1"/>
    <xf numFmtId="2" fontId="2" fillId="5" borderId="0" xfId="0" applyNumberFormat="1" applyFont="1" applyFill="1" applyAlignment="1">
      <alignment horizontal="right"/>
    </xf>
    <xf numFmtId="2" fontId="2" fillId="0" borderId="0" xfId="0" applyNumberFormat="1" applyFont="1"/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165" fontId="2" fillId="3" borderId="0" xfId="0" applyNumberFormat="1" applyFont="1" applyFill="1" applyAlignment="1">
      <alignment horizontal="center"/>
    </xf>
    <xf numFmtId="166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/>
    <xf numFmtId="1" fontId="2" fillId="3" borderId="0" xfId="0" applyNumberFormat="1" applyFont="1" applyFill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68" fontId="0" fillId="0" borderId="0" xfId="0" applyNumberFormat="1" applyAlignment="1">
      <alignment horizontal="center"/>
    </xf>
    <xf numFmtId="0" fontId="0" fillId="3" borderId="0" xfId="0" applyFill="1"/>
    <xf numFmtId="0" fontId="0" fillId="0" borderId="10" xfId="0" applyBorder="1"/>
    <xf numFmtId="0" fontId="0" fillId="0" borderId="4" xfId="0" applyBorder="1"/>
    <xf numFmtId="0" fontId="0" fillId="0" borderId="11" xfId="0" applyBorder="1"/>
    <xf numFmtId="169" fontId="0" fillId="0" borderId="0" xfId="0" applyNumberFormat="1"/>
    <xf numFmtId="10" fontId="0" fillId="0" borderId="0" xfId="1" applyNumberFormat="1" applyFont="1" applyBorder="1"/>
    <xf numFmtId="10" fontId="0" fillId="0" borderId="5" xfId="1" applyNumberFormat="1" applyFont="1" applyBorder="1"/>
    <xf numFmtId="164" fontId="0" fillId="0" borderId="4" xfId="0" applyNumberFormat="1" applyBorder="1"/>
    <xf numFmtId="0" fontId="15" fillId="3" borderId="0" xfId="0" applyFont="1" applyFill="1"/>
    <xf numFmtId="9" fontId="0" fillId="0" borderId="0" xfId="1" applyFont="1"/>
    <xf numFmtId="164" fontId="16" fillId="0" borderId="0" xfId="0" applyNumberFormat="1" applyFont="1" applyAlignment="1">
      <alignment horizontal="center"/>
    </xf>
    <xf numFmtId="17" fontId="2" fillId="3" borderId="0" xfId="3" applyNumberFormat="1" applyFont="1" applyFill="1" applyAlignment="1">
      <alignment horizontal="center"/>
    </xf>
    <xf numFmtId="0" fontId="2" fillId="4" borderId="0" xfId="0" applyFont="1" applyFill="1"/>
    <xf numFmtId="169" fontId="2" fillId="4" borderId="0" xfId="0" applyNumberFormat="1" applyFont="1" applyFill="1" applyAlignment="1">
      <alignment horizontal="center"/>
    </xf>
    <xf numFmtId="164" fontId="2" fillId="0" borderId="0" xfId="0" applyNumberFormat="1" applyFont="1"/>
    <xf numFmtId="0" fontId="2" fillId="2" borderId="0" xfId="0" applyFont="1" applyFill="1"/>
    <xf numFmtId="164" fontId="2" fillId="2" borderId="0" xfId="0" applyNumberFormat="1" applyFont="1" applyFill="1"/>
    <xf numFmtId="164" fontId="2" fillId="7" borderId="0" xfId="0" applyNumberFormat="1" applyFont="1" applyFill="1"/>
    <xf numFmtId="10" fontId="2" fillId="7" borderId="0" xfId="1" applyNumberFormat="1" applyFont="1" applyFill="1"/>
    <xf numFmtId="164" fontId="0" fillId="0" borderId="1" xfId="0" applyNumberFormat="1" applyBorder="1"/>
    <xf numFmtId="164" fontId="0" fillId="0" borderId="3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164" fontId="2" fillId="3" borderId="1" xfId="0" applyNumberFormat="1" applyFont="1" applyFill="1" applyBorder="1"/>
    <xf numFmtId="164" fontId="2" fillId="3" borderId="9" xfId="0" applyNumberFormat="1" applyFont="1" applyFill="1" applyBorder="1"/>
    <xf numFmtId="164" fontId="0" fillId="0" borderId="10" xfId="0" applyNumberFormat="1" applyBorder="1"/>
    <xf numFmtId="164" fontId="0" fillId="0" borderId="13" xfId="0" applyNumberFormat="1" applyBorder="1"/>
    <xf numFmtId="164" fontId="0" fillId="0" borderId="14" xfId="0" applyNumberFormat="1" applyBorder="1"/>
    <xf numFmtId="164" fontId="2" fillId="6" borderId="0" xfId="0" applyNumberFormat="1" applyFont="1" applyFill="1"/>
    <xf numFmtId="164" fontId="2" fillId="6" borderId="4" xfId="0" applyNumberFormat="1" applyFont="1" applyFill="1" applyBorder="1"/>
    <xf numFmtId="2" fontId="2" fillId="2" borderId="4" xfId="0" applyNumberFormat="1" applyFont="1" applyFill="1" applyBorder="1"/>
    <xf numFmtId="167" fontId="2" fillId="0" borderId="0" xfId="0" applyNumberFormat="1" applyFont="1"/>
    <xf numFmtId="0" fontId="2" fillId="0" borderId="4" xfId="0" applyFont="1" applyBorder="1"/>
    <xf numFmtId="167" fontId="2" fillId="0" borderId="5" xfId="0" applyNumberFormat="1" applyFont="1" applyBorder="1"/>
    <xf numFmtId="164" fontId="0" fillId="0" borderId="5" xfId="0" applyNumberFormat="1" applyBorder="1"/>
    <xf numFmtId="164" fontId="0" fillId="0" borderId="12" xfId="0" applyNumberFormat="1" applyBorder="1"/>
    <xf numFmtId="0" fontId="17" fillId="0" borderId="0" xfId="0" applyFont="1"/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4" fontId="5" fillId="0" borderId="0" xfId="0" applyNumberFormat="1" applyFont="1" applyAlignment="1">
      <alignment horizontal="right" vertical="center" readingOrder="1"/>
    </xf>
    <xf numFmtId="0" fontId="5" fillId="0" borderId="0" xfId="0" applyFont="1" applyAlignment="1">
      <alignment vertical="center" readingOrder="1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0" fillId="0" borderId="8" xfId="0" applyBorder="1"/>
    <xf numFmtId="0" fontId="2" fillId="0" borderId="17" xfId="0" applyFont="1" applyBorder="1" applyAlignment="1">
      <alignment horizontal="left"/>
    </xf>
    <xf numFmtId="164" fontId="18" fillId="0" borderId="0" xfId="0" applyNumberFormat="1" applyFont="1" applyAlignment="1">
      <alignment horizontal="center"/>
    </xf>
    <xf numFmtId="169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2" fillId="0" borderId="0" xfId="0" applyFont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170" fontId="0" fillId="0" borderId="0" xfId="0" applyNumberFormat="1" applyAlignment="1">
      <alignment horizontal="center"/>
    </xf>
    <xf numFmtId="170" fontId="2" fillId="4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4" borderId="0" xfId="1" applyNumberFormat="1" applyFont="1" applyFill="1" applyAlignment="1">
      <alignment horizontal="center"/>
    </xf>
    <xf numFmtId="3" fontId="0" fillId="0" borderId="0" xfId="0" applyNumberFormat="1"/>
    <xf numFmtId="1" fontId="0" fillId="0" borderId="0" xfId="0" applyNumberFormat="1"/>
    <xf numFmtId="10" fontId="2" fillId="0" borderId="0" xfId="1" applyNumberFormat="1" applyFont="1" applyAlignment="1">
      <alignment horizontal="center"/>
    </xf>
    <xf numFmtId="0" fontId="14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7" fillId="3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3" borderId="10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164" fontId="15" fillId="3" borderId="0" xfId="0" applyNumberFormat="1" applyFont="1" applyFill="1" applyAlignment="1">
      <alignment horizontal="center" vertical="center"/>
    </xf>
    <xf numFmtId="164" fontId="14" fillId="3" borderId="1" xfId="0" applyNumberFormat="1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4">
    <cellStyle name="Comma" xfId="3" builtinId="3"/>
    <cellStyle name="Heading 3" xfId="2" builtinId="18"/>
    <cellStyle name="Normal" xfId="0" builtinId="0"/>
    <cellStyle name="Percent" xfId="1" builtinId="5"/>
  </cellStyles>
  <dxfs count="11">
    <dxf>
      <font>
        <b/>
        <i val="0"/>
        <color theme="9"/>
      </font>
    </dxf>
    <dxf>
      <font>
        <b/>
        <i val="0"/>
        <color rgb="FFFF0000"/>
      </font>
    </dxf>
    <dxf>
      <font>
        <b/>
        <i val="0"/>
        <color theme="9"/>
      </font>
    </dxf>
    <dxf>
      <font>
        <b/>
        <i val="0"/>
        <color rgb="FFFF0000"/>
      </font>
    </dxf>
    <dxf>
      <font>
        <b/>
      </font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167" formatCode="#,##0.00;\(#,##0.00\);\-"/>
    </dxf>
    <dxf>
      <font>
        <b/>
      </font>
    </dxf>
    <dxf>
      <font>
        <b/>
      </font>
      <numFmt numFmtId="167" formatCode="#,##0.00;\(#,##0.00\);\-"/>
    </dxf>
    <dxf>
      <font>
        <b/>
      </font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F357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backgroundRefresh="0" connectionId="1" xr16:uid="{C9FADE08-74E5-4592-B5EC-446DCFAF114C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MP" tableColumnId="1"/>
    </queryTableFields>
  </queryTableRefresh>
  <extLst>
    <ext xmlns:x15="http://schemas.microsoft.com/office/spreadsheetml/2010/11/main" uri="{883FBD77-0823-4a55-B5E3-86C4891E6966}">
      <x15:queryTable sourceDataName="Query - Table 8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backgroundRefresh="0" connectionId="2" xr16:uid="{CDEEB1E8-16EE-4F21-9AF5-E6D6196A8C43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olumn1" tableColumnId="1"/>
    </queryTableFields>
  </queryTableRefresh>
  <extLst>
    <ext xmlns:x15="http://schemas.microsoft.com/office/spreadsheetml/2010/11/main" uri="{883FBD77-0823-4a55-B5E3-86C4891E6966}">
      <x15:queryTable sourceDataName="Query - Table 8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0CC3E-C98F-4BE9-9154-8E79D8E15989}" name="Table_8" displayName="Table_8" ref="L39" tableType="queryTable" headerRowCount="0" totalsRowShown="0" headerRowDxfId="10" dataDxfId="9">
  <tableColumns count="1">
    <tableColumn id="1" xr3:uid="{0010AC63-BCAA-492D-9D01-43D4DFB094A2}" uniqueName="1" name="CMP" queryTableFieldId="1" dataDxfId="8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917CE4-EC73-4311-9837-58302BBFDA38}" name="Table_8__2" displayName="Table_8__2" ref="L23" tableType="queryTable" headerRowCount="0" totalsRowShown="0" headerRowDxfId="7" dataDxfId="6">
  <tableColumns count="1">
    <tableColumn id="1" xr3:uid="{C1042340-2DDB-4D98-823B-4A5B4BAA2899}" uniqueName="1" name="Column1" queryTableFieldId="1" headerRowDxfId="5" dataDxfId="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801AB-33F2-4BCE-B997-4157BEABDB9B}">
  <sheetPr>
    <pageSetUpPr fitToPage="1"/>
  </sheetPr>
  <dimension ref="B3:M34"/>
  <sheetViews>
    <sheetView showGridLines="0" tabSelected="1" zoomScale="110" zoomScaleNormal="110" workbookViewId="0">
      <pane ySplit="4" topLeftCell="A5" activePane="bottomLeft" state="frozen"/>
      <selection pane="bottomLeft" activeCell="L10" sqref="L10"/>
    </sheetView>
  </sheetViews>
  <sheetFormatPr defaultRowHeight="14.4" x14ac:dyDescent="0.3"/>
  <cols>
    <col min="1" max="1" width="1.88671875" customWidth="1"/>
    <col min="2" max="2" width="32.21875" bestFit="1" customWidth="1"/>
    <col min="3" max="6" width="12.77734375" style="10" customWidth="1"/>
    <col min="7" max="11" width="12.77734375" style="1" customWidth="1"/>
  </cols>
  <sheetData>
    <row r="3" spans="2:13" x14ac:dyDescent="0.3">
      <c r="B3" s="57" t="s">
        <v>186</v>
      </c>
      <c r="C3" s="58">
        <v>2021</v>
      </c>
      <c r="D3" s="58">
        <f>C3+1</f>
        <v>2022</v>
      </c>
      <c r="E3" s="58">
        <f t="shared" ref="E3:J3" si="0">D3+1</f>
        <v>2023</v>
      </c>
      <c r="F3" s="58">
        <f t="shared" si="0"/>
        <v>2024</v>
      </c>
      <c r="G3" s="59">
        <f t="shared" si="0"/>
        <v>2025</v>
      </c>
      <c r="H3" s="59">
        <f t="shared" si="0"/>
        <v>2026</v>
      </c>
      <c r="I3" s="59">
        <f t="shared" si="0"/>
        <v>2027</v>
      </c>
      <c r="J3" s="59">
        <f t="shared" si="0"/>
        <v>2028</v>
      </c>
      <c r="K3" s="59">
        <f>J3+1</f>
        <v>2029</v>
      </c>
    </row>
    <row r="4" spans="2:13" x14ac:dyDescent="0.3">
      <c r="B4" s="57" t="s">
        <v>52</v>
      </c>
      <c r="C4" s="56">
        <v>1</v>
      </c>
      <c r="D4" s="56">
        <f>C4+1</f>
        <v>2</v>
      </c>
      <c r="E4" s="56">
        <f t="shared" ref="E4:K4" si="1">D4+1</f>
        <v>3</v>
      </c>
      <c r="F4" s="56">
        <f t="shared" si="1"/>
        <v>4</v>
      </c>
      <c r="G4" s="56">
        <f t="shared" si="1"/>
        <v>5</v>
      </c>
      <c r="H4" s="56">
        <f t="shared" si="1"/>
        <v>6</v>
      </c>
      <c r="I4" s="56">
        <f t="shared" si="1"/>
        <v>7</v>
      </c>
      <c r="J4" s="56">
        <f t="shared" si="1"/>
        <v>8</v>
      </c>
      <c r="K4" s="56">
        <f t="shared" si="1"/>
        <v>9</v>
      </c>
    </row>
    <row r="5" spans="2:13" x14ac:dyDescent="0.3">
      <c r="B5" s="4" t="s">
        <v>27</v>
      </c>
      <c r="C5" s="62">
        <v>29697.844000000001</v>
      </c>
      <c r="D5" s="62">
        <v>31615.55</v>
      </c>
      <c r="E5" s="62">
        <v>33723.296999999999</v>
      </c>
      <c r="F5" s="62">
        <v>39000.966</v>
      </c>
      <c r="G5" s="12">
        <f>Assumptions!G25</f>
        <v>45091.395326159589</v>
      </c>
      <c r="H5" s="12">
        <f>Assumptions!H25</f>
        <v>50502.362765298742</v>
      </c>
      <c r="I5" s="12">
        <f>Assumptions!I25</f>
        <v>55047.575414175633</v>
      </c>
      <c r="J5" s="12">
        <f>Assumptions!J25</f>
        <v>59451.381447309686</v>
      </c>
      <c r="K5" s="12">
        <f>Assumptions!K25</f>
        <v>64207.491963094464</v>
      </c>
    </row>
    <row r="6" spans="2:13" x14ac:dyDescent="0.3">
      <c r="B6" s="5" t="s">
        <v>28</v>
      </c>
      <c r="C6" s="18">
        <v>17332.683000000001</v>
      </c>
      <c r="D6" s="18">
        <v>19168.285</v>
      </c>
      <c r="E6" s="18">
        <v>19715.367999999999</v>
      </c>
      <c r="F6" s="18">
        <v>21038.464</v>
      </c>
      <c r="G6" s="10">
        <f>Assumptions!G50</f>
        <v>22276.654126092319</v>
      </c>
      <c r="H6" s="10">
        <f>Assumptions!H50</f>
        <v>23962.970143135579</v>
      </c>
      <c r="I6" s="10">
        <f>Assumptions!I50</f>
        <v>26414.122516422154</v>
      </c>
      <c r="J6" s="10">
        <f>Assumptions!J50</f>
        <v>29234.393033412303</v>
      </c>
      <c r="K6" s="10">
        <f>Assumptions!K50</f>
        <v>31488.001478370854</v>
      </c>
    </row>
    <row r="7" spans="2:13" x14ac:dyDescent="0.3">
      <c r="B7" s="5" t="s">
        <v>29</v>
      </c>
      <c r="C7" s="18">
        <v>2545.1460000000002</v>
      </c>
      <c r="D7" s="18">
        <v>2530.502</v>
      </c>
      <c r="E7" s="18">
        <v>2657.8829999999998</v>
      </c>
      <c r="F7" s="18">
        <v>2917.5540000000001</v>
      </c>
      <c r="G7" s="10">
        <f>Assumptions!G33</f>
        <v>3017.4712249999998</v>
      </c>
      <c r="H7" s="10">
        <f>Assumptions!H33</f>
        <v>3251.2503806280588</v>
      </c>
      <c r="I7" s="10">
        <f>Assumptions!I33</f>
        <v>3497.4482587174007</v>
      </c>
      <c r="J7" s="10">
        <f>Assumptions!J33</f>
        <v>3759.0112239644277</v>
      </c>
      <c r="K7" s="10">
        <f>Assumptions!K33</f>
        <v>4036.9617438342798</v>
      </c>
      <c r="M7" s="40"/>
    </row>
    <row r="8" spans="2:13" x14ac:dyDescent="0.3">
      <c r="B8" s="5" t="s">
        <v>30</v>
      </c>
      <c r="C8" s="18">
        <v>2273.8850000000002</v>
      </c>
      <c r="D8" s="18">
        <v>2711.0410000000002</v>
      </c>
      <c r="E8" s="18">
        <v>2675.7579999999998</v>
      </c>
      <c r="F8" s="18">
        <v>2925.2950000000001</v>
      </c>
      <c r="G8" s="10">
        <f>Assumptions!G35</f>
        <v>3401.6211199999998</v>
      </c>
      <c r="H8" s="10">
        <f>Assumptions!H35</f>
        <v>3669.1052656623319</v>
      </c>
      <c r="I8" s="10">
        <f>Assumptions!I35</f>
        <v>3958.7925073480083</v>
      </c>
      <c r="J8" s="10">
        <f>Assumptions!J35</f>
        <v>4265.6554325828183</v>
      </c>
      <c r="K8" s="10">
        <f>Assumptions!K35</f>
        <v>4594.5765064925145</v>
      </c>
    </row>
    <row r="9" spans="2:13" x14ac:dyDescent="0.3">
      <c r="B9" s="5" t="s">
        <v>31</v>
      </c>
      <c r="C9" s="18">
        <v>1351.6210000000001</v>
      </c>
      <c r="D9" s="18">
        <v>1572.8910000000001</v>
      </c>
      <c r="E9" s="18">
        <v>1720.2850000000001</v>
      </c>
      <c r="F9" s="18">
        <v>1702.039</v>
      </c>
      <c r="G9" s="10">
        <f>Assumptions!G37</f>
        <v>1803.723205</v>
      </c>
      <c r="H9" s="10">
        <f>Assumptions!H37</f>
        <v>1886.8944375735375</v>
      </c>
      <c r="I9" s="10">
        <f>Assumptions!I37</f>
        <v>1974.0204932230179</v>
      </c>
      <c r="J9" s="10">
        <f>Assumptions!J37</f>
        <v>2063.6666854135437</v>
      </c>
      <c r="K9" s="10">
        <f>Assumptions!K37</f>
        <v>2155.0213361290048</v>
      </c>
    </row>
    <row r="10" spans="2:13" x14ac:dyDescent="0.3">
      <c r="B10" s="13" t="s">
        <v>32</v>
      </c>
      <c r="C10" s="17">
        <f>C5-SUM(C6:C9)</f>
        <v>6194.5090000000018</v>
      </c>
      <c r="D10" s="17">
        <f>D5-SUM(D6:D9)</f>
        <v>5632.8309999999983</v>
      </c>
      <c r="E10" s="17">
        <f t="shared" ref="E10:F10" si="2">E5-SUM(E6:E9)</f>
        <v>6954.0030000000006</v>
      </c>
      <c r="F10" s="17">
        <f t="shared" si="2"/>
        <v>10417.613999999998</v>
      </c>
      <c r="G10" s="17">
        <f>G5-SUM(G6:G9)</f>
        <v>14591.925650067271</v>
      </c>
      <c r="H10" s="17">
        <f t="shared" ref="H10" si="3">H5-SUM(H6:H9)</f>
        <v>17732.142538299231</v>
      </c>
      <c r="I10" s="17">
        <f t="shared" ref="I10" si="4">I5-SUM(I6:I9)</f>
        <v>19203.191638465054</v>
      </c>
      <c r="J10" s="17">
        <f t="shared" ref="J10" si="5">J5-SUM(J6:J9)</f>
        <v>20128.655071936591</v>
      </c>
      <c r="K10" s="17">
        <f t="shared" ref="K10" si="6">K5-SUM(K6:K9)</f>
        <v>21932.930898267805</v>
      </c>
    </row>
    <row r="11" spans="2:13" x14ac:dyDescent="0.3">
      <c r="B11" s="4" t="s">
        <v>33</v>
      </c>
      <c r="G11" s="10"/>
      <c r="H11" s="10"/>
      <c r="I11" s="10"/>
      <c r="J11" s="10"/>
      <c r="K11" s="10"/>
    </row>
    <row r="12" spans="2:13" x14ac:dyDescent="0.3">
      <c r="B12" s="5" t="s">
        <v>34</v>
      </c>
      <c r="C12" s="18">
        <v>-765.62</v>
      </c>
      <c r="D12" s="18">
        <v>-706.21199999999999</v>
      </c>
      <c r="E12" s="18">
        <v>-699.82600000000002</v>
      </c>
      <c r="F12" s="18">
        <v>-718.73299999999995</v>
      </c>
      <c r="G12" s="10">
        <f>Assumptions!G96</f>
        <v>-738.12905684775967</v>
      </c>
      <c r="H12" s="10">
        <f>Assumptions!H96</f>
        <v>-717.74724394746465</v>
      </c>
      <c r="I12" s="10">
        <f>Assumptions!I96</f>
        <v>-700.12335023878825</v>
      </c>
      <c r="J12" s="10">
        <f>Assumptions!J96</f>
        <v>-679.40595268886659</v>
      </c>
      <c r="K12" s="10">
        <f>Assumptions!K96</f>
        <v>-660.89397512522498</v>
      </c>
    </row>
    <row r="13" spans="2:13" x14ac:dyDescent="0.3">
      <c r="B13" s="5" t="s">
        <v>35</v>
      </c>
      <c r="C13" s="18">
        <v>411.214</v>
      </c>
      <c r="D13" s="18">
        <v>337.31</v>
      </c>
      <c r="E13" s="18">
        <v>-48.771999999999998</v>
      </c>
      <c r="F13" s="18">
        <v>266.77600000000001</v>
      </c>
      <c r="G13" s="18">
        <v>266.77600000000001</v>
      </c>
      <c r="H13" s="18">
        <v>266.77600000000001</v>
      </c>
      <c r="I13" s="18">
        <v>266.77600000000001</v>
      </c>
      <c r="J13" s="18">
        <v>266.77600000000001</v>
      </c>
      <c r="K13" s="18">
        <v>266.77600000000001</v>
      </c>
    </row>
    <row r="14" spans="2:13" x14ac:dyDescent="0.3">
      <c r="B14" s="13" t="s">
        <v>36</v>
      </c>
      <c r="C14" s="17">
        <f>C10+C12+C13</f>
        <v>5840.1030000000019</v>
      </c>
      <c r="D14" s="17">
        <f>D10+D12+D13</f>
        <v>5263.9289999999992</v>
      </c>
      <c r="E14" s="17">
        <f>E10+E12+E13</f>
        <v>6205.4050000000007</v>
      </c>
      <c r="F14" s="17">
        <f>F10+F12+F13</f>
        <v>9965.6569999999974</v>
      </c>
      <c r="G14" s="17">
        <f>G10+G12+G13</f>
        <v>14120.572593219511</v>
      </c>
      <c r="H14" s="17">
        <f t="shared" ref="H14:K14" si="7">H10+H12+H13</f>
        <v>17281.171294351767</v>
      </c>
      <c r="I14" s="17">
        <f t="shared" si="7"/>
        <v>18769.844288226268</v>
      </c>
      <c r="J14" s="17">
        <f t="shared" si="7"/>
        <v>19716.025119247726</v>
      </c>
      <c r="K14" s="17">
        <f t="shared" si="7"/>
        <v>21538.812923142581</v>
      </c>
    </row>
    <row r="15" spans="2:13" x14ac:dyDescent="0.3">
      <c r="B15" s="5" t="s">
        <v>37</v>
      </c>
      <c r="C15" s="18">
        <v>-723.875</v>
      </c>
      <c r="D15" s="18">
        <v>-772.005</v>
      </c>
      <c r="E15" s="18">
        <v>-797.41499999999996</v>
      </c>
      <c r="F15" s="18">
        <v>-1254.0260000000001</v>
      </c>
      <c r="G15" s="10">
        <f>Assumptions!G42</f>
        <v>-1776.8587827962269</v>
      </c>
      <c r="H15" s="10">
        <f>Assumptions!H42</f>
        <v>-2174.5719437836137</v>
      </c>
      <c r="I15" s="10">
        <f>Assumptions!I42</f>
        <v>-2361.8987441959166</v>
      </c>
      <c r="J15" s="10">
        <f>Assumptions!J42</f>
        <v>-2480.9611765877312</v>
      </c>
      <c r="K15" s="10">
        <f>Assumptions!K42</f>
        <v>-2710.3312320258274</v>
      </c>
    </row>
    <row r="16" spans="2:13" ht="15" thickBot="1" x14ac:dyDescent="0.35">
      <c r="B16" s="14" t="s">
        <v>38</v>
      </c>
      <c r="C16" s="16">
        <f>C14+C15</f>
        <v>5116.2280000000019</v>
      </c>
      <c r="D16" s="16">
        <f>D14+D15</f>
        <v>4491.9239999999991</v>
      </c>
      <c r="E16" s="16">
        <f>E14+E15</f>
        <v>5407.9900000000007</v>
      </c>
      <c r="F16" s="16">
        <f>F14+F15</f>
        <v>8711.6309999999976</v>
      </c>
      <c r="G16" s="16">
        <f>G14+G15</f>
        <v>12343.713810423284</v>
      </c>
      <c r="H16" s="16">
        <f t="shared" ref="H16:K16" si="8">H14+H15</f>
        <v>15106.599350568153</v>
      </c>
      <c r="I16" s="16">
        <f t="shared" si="8"/>
        <v>16407.94554403035</v>
      </c>
      <c r="J16" s="16">
        <f t="shared" si="8"/>
        <v>17235.063942659996</v>
      </c>
      <c r="K16" s="16">
        <f t="shared" si="8"/>
        <v>18828.481691116755</v>
      </c>
    </row>
    <row r="17" spans="2:11" ht="15" thickTop="1" x14ac:dyDescent="0.3">
      <c r="B17" s="4" t="s">
        <v>39</v>
      </c>
    </row>
    <row r="18" spans="2:11" x14ac:dyDescent="0.3">
      <c r="B18" s="5" t="s">
        <v>40</v>
      </c>
      <c r="C18" s="32">
        <f>C$16/C21</f>
        <v>1.15450079543275</v>
      </c>
      <c r="D18" s="32">
        <f t="shared" ref="D18:K19" si="9">D$16/D21</f>
        <v>1.0101066341652087</v>
      </c>
      <c r="E18" s="32">
        <f t="shared" si="9"/>
        <v>1.2247158441111397</v>
      </c>
      <c r="F18" s="32">
        <f t="shared" si="9"/>
        <v>2.0282294846095277</v>
      </c>
      <c r="G18" s="32">
        <f>G$16/G21</f>
        <v>2.9195815452424911</v>
      </c>
      <c r="H18" s="32">
        <f t="shared" si="9"/>
        <v>3.6313736849014764</v>
      </c>
      <c r="I18" s="32">
        <f t="shared" si="9"/>
        <v>4.0093307161734062</v>
      </c>
      <c r="J18" s="32">
        <f t="shared" si="9"/>
        <v>4.2823146768018034</v>
      </c>
      <c r="K18" s="32">
        <f t="shared" si="9"/>
        <v>4.7582122598743446</v>
      </c>
    </row>
    <row r="19" spans="2:11" x14ac:dyDescent="0.3">
      <c r="B19" s="5" t="s">
        <v>41</v>
      </c>
      <c r="C19" s="32">
        <f>C$16/C22</f>
        <v>1.1235271382518033</v>
      </c>
      <c r="D19" s="32">
        <f t="shared" si="9"/>
        <v>0.99535199095924987</v>
      </c>
      <c r="E19" s="32">
        <f t="shared" si="9"/>
        <v>1.20311770018999</v>
      </c>
      <c r="F19" s="32">
        <f>F$16/F22</f>
        <v>1.9832470899988837</v>
      </c>
      <c r="G19" s="32">
        <f>G$16/G22</f>
        <v>2.8647848682042674</v>
      </c>
      <c r="H19" s="32">
        <f t="shared" ref="H19:K19" si="10">H$16/H22</f>
        <v>3.5579458493571372</v>
      </c>
      <c r="I19" s="32">
        <f t="shared" si="10"/>
        <v>3.9248877813809537</v>
      </c>
      <c r="J19" s="32">
        <f t="shared" si="10"/>
        <v>4.1938225455430072</v>
      </c>
      <c r="K19" s="32">
        <f t="shared" si="10"/>
        <v>4.6566833150680225</v>
      </c>
    </row>
    <row r="20" spans="2:11" x14ac:dyDescent="0.3">
      <c r="B20" s="4" t="s">
        <v>237</v>
      </c>
      <c r="C20" s="19"/>
      <c r="D20" s="19"/>
      <c r="E20" s="19"/>
      <c r="F20" s="19"/>
    </row>
    <row r="21" spans="2:11" x14ac:dyDescent="0.3">
      <c r="B21" s="5" t="s">
        <v>40</v>
      </c>
      <c r="C21" s="19">
        <v>4431.5499999999993</v>
      </c>
      <c r="D21" s="19">
        <v>4446.9799999999996</v>
      </c>
      <c r="E21" s="19">
        <v>4415.71</v>
      </c>
      <c r="F21" s="19">
        <v>4295.1900000000005</v>
      </c>
      <c r="G21" s="10">
        <f>F21-Assumptions!G129</f>
        <v>4227.9051361102001</v>
      </c>
      <c r="H21" s="10">
        <f>G21-Assumptions!H129</f>
        <v>4160.0233579315627</v>
      </c>
      <c r="I21" s="10">
        <f>H21-Assumptions!I129</f>
        <v>4092.4400368973438</v>
      </c>
      <c r="J21" s="10">
        <f>I21-Assumptions!J129</f>
        <v>4024.7074872909157</v>
      </c>
      <c r="K21" s="10">
        <f>J21-Assumptions!K129</f>
        <v>3957.0495519705919</v>
      </c>
    </row>
    <row r="22" spans="2:11" x14ac:dyDescent="0.3">
      <c r="B22" s="5" t="s">
        <v>41</v>
      </c>
      <c r="C22" s="19">
        <v>4553.72</v>
      </c>
      <c r="D22" s="19">
        <v>4512.9000000000005</v>
      </c>
      <c r="E22" s="19">
        <v>4494.9799999999996</v>
      </c>
      <c r="F22" s="19">
        <v>4392.6100000000006</v>
      </c>
      <c r="G22" s="10">
        <f>G21+Assumptions!G130</f>
        <v>4308.7751361102</v>
      </c>
      <c r="H22" s="10">
        <f>H21+Assumptions!H130</f>
        <v>4245.8766912648962</v>
      </c>
      <c r="I22" s="10">
        <f>I21+Assumptions!I130</f>
        <v>4180.4878146751216</v>
      </c>
      <c r="J22" s="10">
        <f>J21+Assumptions!J130</f>
        <v>4109.6311909946198</v>
      </c>
      <c r="K22" s="10">
        <f>K21+Assumptions!K130</f>
        <v>4043.324490242197</v>
      </c>
    </row>
    <row r="23" spans="2:11" x14ac:dyDescent="0.3">
      <c r="B23" s="5"/>
      <c r="C23" s="8"/>
      <c r="D23" s="8"/>
      <c r="E23" s="8"/>
      <c r="F23" s="8"/>
      <c r="G23" s="10"/>
      <c r="H23" s="10"/>
      <c r="I23" s="10"/>
      <c r="J23" s="10"/>
      <c r="K23" s="10"/>
    </row>
    <row r="24" spans="2:11" x14ac:dyDescent="0.3">
      <c r="B24" s="5"/>
      <c r="C24" s="8"/>
      <c r="D24" s="8"/>
      <c r="E24" s="8"/>
      <c r="F24" s="8"/>
    </row>
    <row r="25" spans="2:11" x14ac:dyDescent="0.3">
      <c r="B25" s="5"/>
      <c r="C25" s="8"/>
      <c r="D25" s="8"/>
      <c r="E25" s="8"/>
      <c r="F25" s="8"/>
    </row>
    <row r="26" spans="2:11" x14ac:dyDescent="0.3">
      <c r="B26" s="4"/>
      <c r="D26" s="9"/>
      <c r="E26" s="9"/>
      <c r="F26" s="9"/>
    </row>
    <row r="27" spans="2:11" x14ac:dyDescent="0.3">
      <c r="B27" s="3"/>
    </row>
    <row r="31" spans="2:11" x14ac:dyDescent="0.3">
      <c r="B31" s="6"/>
      <c r="C31" s="12"/>
      <c r="D31" s="12"/>
      <c r="E31" s="12"/>
      <c r="F31" s="12"/>
    </row>
    <row r="32" spans="2:11" x14ac:dyDescent="0.3">
      <c r="B32" s="4"/>
      <c r="C32" s="12"/>
      <c r="D32" s="12"/>
      <c r="E32" s="12"/>
      <c r="F32" s="12"/>
    </row>
    <row r="34" spans="7:11" x14ac:dyDescent="0.3">
      <c r="G34" s="10"/>
      <c r="H34" s="10"/>
      <c r="I34" s="10"/>
      <c r="J34" s="10"/>
      <c r="K34" s="10"/>
    </row>
  </sheetData>
  <pageMargins left="0.25" right="0.25" top="0.75" bottom="0.75" header="0.3" footer="0.3"/>
  <pageSetup scale="6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05A27-759B-4969-8D3C-FF77FE0B86DB}">
  <sheetPr>
    <pageSetUpPr fitToPage="1"/>
  </sheetPr>
  <dimension ref="B3:K37"/>
  <sheetViews>
    <sheetView showGridLines="0" zoomScale="110" zoomScaleNormal="110" workbookViewId="0">
      <pane ySplit="4" topLeftCell="A14" activePane="bottomLeft" state="frozen"/>
      <selection pane="bottomLeft" activeCell="C28" sqref="C28"/>
    </sheetView>
  </sheetViews>
  <sheetFormatPr defaultRowHeight="14.4" x14ac:dyDescent="0.3"/>
  <cols>
    <col min="1" max="1" width="1.88671875" customWidth="1"/>
    <col min="2" max="2" width="44.109375" bestFit="1" customWidth="1"/>
    <col min="3" max="6" width="12.77734375" style="10" customWidth="1"/>
    <col min="7" max="11" width="12.77734375" style="1" customWidth="1"/>
  </cols>
  <sheetData>
    <row r="3" spans="2:11" ht="18" x14ac:dyDescent="0.35">
      <c r="B3" s="72" t="s">
        <v>187</v>
      </c>
      <c r="C3" s="58">
        <v>2021</v>
      </c>
      <c r="D3" s="58">
        <f>C3+1</f>
        <v>2022</v>
      </c>
      <c r="E3" s="58">
        <f t="shared" ref="E3:K3" si="0">D3+1</f>
        <v>2023</v>
      </c>
      <c r="F3" s="58">
        <f t="shared" si="0"/>
        <v>2024</v>
      </c>
      <c r="G3" s="59">
        <f t="shared" si="0"/>
        <v>2025</v>
      </c>
      <c r="H3" s="59">
        <f t="shared" si="0"/>
        <v>2026</v>
      </c>
      <c r="I3" s="59">
        <f t="shared" si="0"/>
        <v>2027</v>
      </c>
      <c r="J3" s="59">
        <f t="shared" si="0"/>
        <v>2028</v>
      </c>
      <c r="K3" s="59">
        <f t="shared" si="0"/>
        <v>2029</v>
      </c>
    </row>
    <row r="4" spans="2:11" x14ac:dyDescent="0.3">
      <c r="B4" s="57" t="s">
        <v>52</v>
      </c>
      <c r="C4" s="55">
        <v>1</v>
      </c>
      <c r="D4" s="55">
        <f>C4+1</f>
        <v>2</v>
      </c>
      <c r="E4" s="55">
        <f t="shared" ref="E4:K4" si="1">D4+1</f>
        <v>3</v>
      </c>
      <c r="F4" s="55">
        <f t="shared" si="1"/>
        <v>4</v>
      </c>
      <c r="G4" s="55">
        <f t="shared" si="1"/>
        <v>5</v>
      </c>
      <c r="H4" s="55">
        <f t="shared" si="1"/>
        <v>6</v>
      </c>
      <c r="I4" s="55">
        <f t="shared" si="1"/>
        <v>7</v>
      </c>
      <c r="J4" s="55">
        <f t="shared" si="1"/>
        <v>8</v>
      </c>
      <c r="K4" s="55">
        <f t="shared" si="1"/>
        <v>9</v>
      </c>
    </row>
    <row r="5" spans="2:11" x14ac:dyDescent="0.3">
      <c r="B5" s="4" t="s">
        <v>0</v>
      </c>
      <c r="C5" s="8"/>
      <c r="D5" s="8"/>
      <c r="E5" s="8"/>
      <c r="F5" s="8"/>
      <c r="G5" s="8"/>
      <c r="H5" s="8"/>
      <c r="I5" s="8"/>
      <c r="J5" s="8"/>
      <c r="K5" s="8"/>
    </row>
    <row r="6" spans="2:11" x14ac:dyDescent="0.3">
      <c r="B6" s="4" t="s">
        <v>1</v>
      </c>
      <c r="C6" s="8"/>
      <c r="D6" s="8"/>
      <c r="E6" s="8"/>
      <c r="F6" s="8"/>
      <c r="G6" s="8"/>
      <c r="H6" s="8"/>
      <c r="I6" s="8"/>
      <c r="J6" s="8"/>
      <c r="K6" s="8"/>
    </row>
    <row r="7" spans="2:11" x14ac:dyDescent="0.3">
      <c r="B7" s="5" t="s">
        <v>2</v>
      </c>
      <c r="C7" s="19">
        <v>6027.8040000000001</v>
      </c>
      <c r="D7" s="19">
        <v>5147.1760000000004</v>
      </c>
      <c r="E7" s="19">
        <v>7116.9129999999996</v>
      </c>
      <c r="F7" s="19">
        <v>7804.7330000000002</v>
      </c>
      <c r="G7" s="10">
        <f>CFS!D34</f>
        <v>10977.516439395387</v>
      </c>
      <c r="H7" s="10">
        <f>CFS!E34</f>
        <v>15731.528641229537</v>
      </c>
      <c r="I7" s="10">
        <f>CFS!F34</f>
        <v>21618.101419266532</v>
      </c>
      <c r="J7" s="10">
        <f>CFS!G34</f>
        <v>28984.464720322656</v>
      </c>
      <c r="K7" s="10">
        <f>CFS!H34</f>
        <v>37271.778316477474</v>
      </c>
    </row>
    <row r="8" spans="2:11" x14ac:dyDescent="0.3">
      <c r="B8" s="5" t="s">
        <v>3</v>
      </c>
      <c r="C8" s="19">
        <v>0</v>
      </c>
      <c r="D8" s="19">
        <v>911.27599999999995</v>
      </c>
      <c r="E8" s="19">
        <v>20.972999999999999</v>
      </c>
      <c r="F8" s="19">
        <v>1779.0060000000001</v>
      </c>
      <c r="G8" s="30">
        <v>1779.0060000000001</v>
      </c>
      <c r="H8" s="30">
        <v>1779.0060000000001</v>
      </c>
      <c r="I8" s="30">
        <v>1779.0060000000001</v>
      </c>
      <c r="J8" s="30">
        <v>1779.0060000000001</v>
      </c>
      <c r="K8" s="30">
        <v>1779.0060000000001</v>
      </c>
    </row>
    <row r="9" spans="2:11" x14ac:dyDescent="0.3">
      <c r="B9" s="5" t="s">
        <v>4</v>
      </c>
      <c r="C9" s="19">
        <v>2042.021</v>
      </c>
      <c r="D9" s="19">
        <v>3208.0210000000002</v>
      </c>
      <c r="E9" s="19">
        <v>2780.2469999999998</v>
      </c>
      <c r="F9" s="19">
        <v>3516.64</v>
      </c>
      <c r="G9" s="10">
        <f>Assumptions!G82</f>
        <v>3620.1031444650648</v>
      </c>
      <c r="H9" s="10">
        <f>Assumptions!H82</f>
        <v>3852.4835250348915</v>
      </c>
      <c r="I9" s="10">
        <f>Assumptions!I82</f>
        <v>3990.885988989</v>
      </c>
      <c r="J9" s="10">
        <f>Assumptions!J82</f>
        <v>4120.853179646394</v>
      </c>
      <c r="K9" s="10">
        <f>Assumptions!K82</f>
        <v>4291.3341723212116</v>
      </c>
    </row>
    <row r="10" spans="2:11" x14ac:dyDescent="0.3">
      <c r="B10" s="4" t="s">
        <v>5</v>
      </c>
      <c r="C10" s="9">
        <f>SUM(C7:C9)</f>
        <v>8069.8249999999998</v>
      </c>
      <c r="D10" s="9">
        <f t="shared" ref="D10:F10" si="2">SUM(D7:D9)</f>
        <v>9266.473</v>
      </c>
      <c r="E10" s="9">
        <f t="shared" si="2"/>
        <v>9918.1329999999998</v>
      </c>
      <c r="F10" s="9">
        <f t="shared" si="2"/>
        <v>13100.378999999999</v>
      </c>
      <c r="G10" s="9">
        <f t="shared" ref="G10" si="3">SUM(G7:G9)</f>
        <v>16376.625583860452</v>
      </c>
      <c r="H10" s="9">
        <f t="shared" ref="H10" si="4">SUM(H7:H9)</f>
        <v>21363.018166264428</v>
      </c>
      <c r="I10" s="9">
        <f t="shared" ref="I10" si="5">SUM(I7:I9)</f>
        <v>27387.993408255534</v>
      </c>
      <c r="J10" s="9">
        <f t="shared" ref="J10" si="6">SUM(J7:J9)</f>
        <v>34884.323899969051</v>
      </c>
      <c r="K10" s="9">
        <f t="shared" ref="K10" si="7">SUM(K7:K9)</f>
        <v>43342.118488798689</v>
      </c>
    </row>
    <row r="11" spans="2:11" x14ac:dyDescent="0.3">
      <c r="B11" s="5" t="s">
        <v>6</v>
      </c>
      <c r="C11" s="19">
        <v>30919.539000000001</v>
      </c>
      <c r="D11" s="19">
        <v>32736.713</v>
      </c>
      <c r="E11" s="19">
        <v>31658.056</v>
      </c>
      <c r="F11" s="19">
        <v>32452.462</v>
      </c>
      <c r="G11" s="10">
        <f>Assumptions!G59</f>
        <v>34923.151194097394</v>
      </c>
      <c r="H11" s="10">
        <f>Assumptions!H59</f>
        <v>38715.954162682545</v>
      </c>
      <c r="I11" s="10">
        <f>Assumptions!I59</f>
        <v>42869.673293021879</v>
      </c>
      <c r="J11" s="10">
        <f>Assumptions!J59</f>
        <v>46250.111238336423</v>
      </c>
      <c r="K11" s="10">
        <f>Assumptions!K59</f>
        <v>50227.328014691011</v>
      </c>
    </row>
    <row r="12" spans="2:11" x14ac:dyDescent="0.3">
      <c r="B12" s="5" t="s">
        <v>7</v>
      </c>
      <c r="C12" s="19">
        <v>1323.453</v>
      </c>
      <c r="D12" s="19">
        <v>1398.2570000000001</v>
      </c>
      <c r="E12" s="19">
        <v>1491.444</v>
      </c>
      <c r="F12" s="19">
        <v>1593.7560000000001</v>
      </c>
      <c r="G12" s="10">
        <f>Assumptions!G68</f>
        <v>1793.8909480927639</v>
      </c>
      <c r="H12" s="10">
        <f>Assumptions!H68</f>
        <v>1964.0907370851421</v>
      </c>
      <c r="I12" s="10">
        <f>Assumptions!I68</f>
        <v>2143.7779549336919</v>
      </c>
      <c r="J12" s="10">
        <f>Assumptions!J68</f>
        <v>2341.8124831092659</v>
      </c>
      <c r="K12" s="10">
        <f>Assumptions!K68</f>
        <v>2563.6364605903027</v>
      </c>
    </row>
    <row r="13" spans="2:11" x14ac:dyDescent="0.3">
      <c r="B13" s="5" t="s">
        <v>8</v>
      </c>
      <c r="C13" s="19">
        <v>4271.8459999999995</v>
      </c>
      <c r="D13" s="19">
        <v>5193.3249999999998</v>
      </c>
      <c r="E13" s="19">
        <v>5664.3590000000004</v>
      </c>
      <c r="F13" s="19">
        <v>6483.777</v>
      </c>
      <c r="G13" s="30">
        <v>6483.777</v>
      </c>
      <c r="H13" s="30">
        <v>6483.777</v>
      </c>
      <c r="I13" s="30">
        <v>6483.777</v>
      </c>
      <c r="J13" s="30">
        <v>6483.777</v>
      </c>
      <c r="K13" s="30">
        <v>6483.777</v>
      </c>
    </row>
    <row r="14" spans="2:11" ht="15" thickBot="1" x14ac:dyDescent="0.35">
      <c r="B14" s="14" t="s">
        <v>9</v>
      </c>
      <c r="C14" s="31">
        <f>SUM(C10,C11:C13)</f>
        <v>44584.663</v>
      </c>
      <c r="D14" s="31">
        <f t="shared" ref="D14:F14" si="8">SUM(D10,D11:D13)</f>
        <v>48594.767999999996</v>
      </c>
      <c r="E14" s="31">
        <f t="shared" si="8"/>
        <v>48731.991999999998</v>
      </c>
      <c r="F14" s="31">
        <f t="shared" si="8"/>
        <v>53630.374000000003</v>
      </c>
      <c r="G14" s="31">
        <f t="shared" ref="G14" si="9">SUM(G10,G11:G13)</f>
        <v>59577.444726050606</v>
      </c>
      <c r="H14" s="31">
        <f t="shared" ref="H14" si="10">SUM(H10,H11:H13)</f>
        <v>68526.840066032106</v>
      </c>
      <c r="I14" s="31">
        <f t="shared" ref="I14" si="11">SUM(I10,I11:I13)</f>
        <v>78885.221656211099</v>
      </c>
      <c r="J14" s="31">
        <f t="shared" ref="J14" si="12">SUM(J10,J11:J13)</f>
        <v>89960.024621414748</v>
      </c>
      <c r="K14" s="31">
        <f t="shared" ref="K14" si="13">SUM(K10,K11:K13)</f>
        <v>102616.85996408001</v>
      </c>
    </row>
    <row r="15" spans="2:11" ht="15" thickTop="1" x14ac:dyDescent="0.3">
      <c r="B15" s="4"/>
      <c r="C15" s="9"/>
      <c r="D15" s="9"/>
      <c r="E15" s="9"/>
      <c r="F15" s="9"/>
      <c r="G15" s="8"/>
      <c r="H15" s="8"/>
      <c r="I15" s="8"/>
      <c r="J15" s="8"/>
      <c r="K15" s="8"/>
    </row>
    <row r="16" spans="2:11" x14ac:dyDescent="0.3">
      <c r="B16" s="4" t="s">
        <v>10</v>
      </c>
      <c r="C16" s="8"/>
      <c r="D16" s="8"/>
      <c r="E16" s="8"/>
      <c r="F16" s="8"/>
      <c r="G16" s="8"/>
      <c r="H16" s="8"/>
      <c r="I16" s="8"/>
      <c r="J16" s="8"/>
      <c r="K16" s="8"/>
    </row>
    <row r="17" spans="2:11" x14ac:dyDescent="0.3">
      <c r="B17" s="4" t="s">
        <v>11</v>
      </c>
      <c r="C17" s="8"/>
      <c r="D17" s="8"/>
      <c r="E17" s="8"/>
      <c r="F17" s="8"/>
      <c r="G17" s="8"/>
      <c r="H17" s="8"/>
      <c r="I17" s="8"/>
      <c r="J17" s="8"/>
      <c r="K17" s="8"/>
    </row>
    <row r="18" spans="2:11" x14ac:dyDescent="0.3">
      <c r="B18" s="5" t="s">
        <v>12</v>
      </c>
      <c r="C18" s="19">
        <v>4292.9669999999996</v>
      </c>
      <c r="D18" s="19">
        <v>4480.1499999999996</v>
      </c>
      <c r="E18" s="19">
        <v>4466.47</v>
      </c>
      <c r="F18" s="19">
        <v>4393.6809999999996</v>
      </c>
      <c r="G18" s="30">
        <v>4393.6809999999996</v>
      </c>
      <c r="H18" s="30">
        <v>4393.6809999999996</v>
      </c>
      <c r="I18" s="30">
        <v>4393.6809999999996</v>
      </c>
      <c r="J18" s="30">
        <v>4393.6809999999996</v>
      </c>
      <c r="K18" s="30">
        <v>4393.6809999999996</v>
      </c>
    </row>
    <row r="19" spans="2:11" x14ac:dyDescent="0.3">
      <c r="B19" s="5" t="s">
        <v>13</v>
      </c>
      <c r="C19" s="19">
        <v>837.48299999999995</v>
      </c>
      <c r="D19" s="19">
        <v>671.51300000000003</v>
      </c>
      <c r="E19" s="19">
        <v>747.41200000000003</v>
      </c>
      <c r="F19" s="19">
        <v>899.90899999999999</v>
      </c>
      <c r="G19" s="10">
        <f>Assumptions!G71</f>
        <v>850.20530536068907</v>
      </c>
      <c r="H19" s="10">
        <f>Assumptions!H71</f>
        <v>905.01130808195092</v>
      </c>
      <c r="I19" s="10">
        <f>Assumptions!I71</f>
        <v>1013.2725957820018</v>
      </c>
      <c r="J19" s="10">
        <f>Assumptions!J71</f>
        <v>1113.7704113343066</v>
      </c>
      <c r="K19" s="10">
        <f>Assumptions!K71</f>
        <v>1198.9165861930398</v>
      </c>
    </row>
    <row r="20" spans="2:11" x14ac:dyDescent="0.3">
      <c r="B20" s="5" t="s">
        <v>14</v>
      </c>
      <c r="C20" s="19">
        <v>1449.3510000000001</v>
      </c>
      <c r="D20" s="19">
        <v>1514.65</v>
      </c>
      <c r="E20" s="19">
        <v>1803.96</v>
      </c>
      <c r="F20" s="19">
        <v>2156.5439999999999</v>
      </c>
      <c r="G20" s="10">
        <f>Assumptions!G101</f>
        <v>2053.0641060092184</v>
      </c>
      <c r="H20" s="10">
        <f>Assumptions!H101</f>
        <v>2231.5738618636192</v>
      </c>
      <c r="I20" s="10">
        <f>Assumptions!I101</f>
        <v>2462.7718748689922</v>
      </c>
      <c r="J20" s="10">
        <f>Assumptions!J101</f>
        <v>2648.295761751102</v>
      </c>
      <c r="K20" s="10">
        <f>Assumptions!K101</f>
        <v>2768.7080249874662</v>
      </c>
    </row>
    <row r="21" spans="2:11" x14ac:dyDescent="0.3">
      <c r="B21" s="5" t="s">
        <v>15</v>
      </c>
      <c r="C21" s="19">
        <v>1209.3420000000001</v>
      </c>
      <c r="D21" s="19">
        <v>1264.6610000000001</v>
      </c>
      <c r="E21" s="19">
        <v>1442.9690000000001</v>
      </c>
      <c r="F21" s="19">
        <v>1520.8130000000001</v>
      </c>
      <c r="G21" s="10">
        <f>Assumptions!G104</f>
        <v>1831.9000042574226</v>
      </c>
      <c r="H21" s="10">
        <f>Assumptions!H104</f>
        <v>2050.5264850951066</v>
      </c>
      <c r="I21" s="10">
        <f>Assumptions!I104</f>
        <v>2243.3496055383202</v>
      </c>
      <c r="J21" s="10">
        <f>Assumptions!J104</f>
        <v>2392.5632381475466</v>
      </c>
      <c r="K21" s="10">
        <f>Assumptions!K104</f>
        <v>2604.0297953509607</v>
      </c>
    </row>
    <row r="22" spans="2:11" x14ac:dyDescent="0.3">
      <c r="B22" s="5" t="s">
        <v>16</v>
      </c>
      <c r="C22" s="19">
        <v>699.82299999999998</v>
      </c>
      <c r="D22" s="19">
        <v>0</v>
      </c>
      <c r="E22" s="19">
        <v>399.84399999999999</v>
      </c>
      <c r="F22" s="19">
        <v>1784.453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</row>
    <row r="23" spans="2:11" x14ac:dyDescent="0.3">
      <c r="B23" s="4" t="s">
        <v>17</v>
      </c>
      <c r="C23" s="9">
        <f>SUM(C18:C22)</f>
        <v>8488.9660000000003</v>
      </c>
      <c r="D23" s="9">
        <f t="shared" ref="D23:F23" si="14">SUM(D18:D22)</f>
        <v>7930.9740000000002</v>
      </c>
      <c r="E23" s="9">
        <f t="shared" si="14"/>
        <v>8860.6550000000007</v>
      </c>
      <c r="F23" s="9">
        <f t="shared" si="14"/>
        <v>10755.4</v>
      </c>
      <c r="G23" s="9">
        <f t="shared" ref="G23" si="15">SUM(G18:G22)</f>
        <v>9128.8504156273302</v>
      </c>
      <c r="H23" s="9">
        <f t="shared" ref="H23" si="16">SUM(H18:H22)</f>
        <v>9580.7926550406755</v>
      </c>
      <c r="I23" s="9">
        <f t="shared" ref="I23" si="17">SUM(I18:I22)</f>
        <v>10113.075076189314</v>
      </c>
      <c r="J23" s="9">
        <f t="shared" ref="J23" si="18">SUM(J18:J22)</f>
        <v>10548.310411232955</v>
      </c>
      <c r="K23" s="9">
        <f t="shared" ref="K23" si="19">SUM(K18:K22)</f>
        <v>10965.335406531467</v>
      </c>
    </row>
    <row r="24" spans="2:11" x14ac:dyDescent="0.3">
      <c r="B24" s="5" t="s">
        <v>18</v>
      </c>
      <c r="C24" s="19">
        <v>3094.2130000000002</v>
      </c>
      <c r="D24" s="19">
        <v>3081.277</v>
      </c>
      <c r="E24" s="19">
        <v>2578.1729999999998</v>
      </c>
      <c r="F24" s="19">
        <v>1780.806</v>
      </c>
      <c r="G24" s="30">
        <v>1780.806</v>
      </c>
      <c r="H24" s="30">
        <v>1780.806</v>
      </c>
      <c r="I24" s="30">
        <v>1780.806</v>
      </c>
      <c r="J24" s="30">
        <v>1780.806</v>
      </c>
      <c r="K24" s="30">
        <v>1780.806</v>
      </c>
    </row>
    <row r="25" spans="2:11" x14ac:dyDescent="0.3">
      <c r="B25" s="5" t="s">
        <v>19</v>
      </c>
      <c r="C25" s="19">
        <v>14693.072</v>
      </c>
      <c r="D25" s="19">
        <v>14353.075999999999</v>
      </c>
      <c r="E25" s="19">
        <v>14143.416999999999</v>
      </c>
      <c r="F25" s="19">
        <v>13798.351000000001</v>
      </c>
      <c r="G25" s="10">
        <f>Assumptions!G93</f>
        <v>15182.804</v>
      </c>
      <c r="H25" s="10">
        <f>Assumptions!H93</f>
        <v>14782.804</v>
      </c>
      <c r="I25" s="10">
        <f>Assumptions!I93</f>
        <v>14382.804</v>
      </c>
      <c r="J25" s="10">
        <f>Assumptions!J93</f>
        <v>13982.804</v>
      </c>
      <c r="K25" s="10">
        <f>Assumptions!K93</f>
        <v>13582.804</v>
      </c>
    </row>
    <row r="26" spans="2:11" x14ac:dyDescent="0.3">
      <c r="B26" s="5" t="s">
        <v>20</v>
      </c>
      <c r="C26" s="19">
        <v>2459.1640000000002</v>
      </c>
      <c r="D26" s="19">
        <v>2452.04</v>
      </c>
      <c r="E26" s="19">
        <v>2561.4340000000002</v>
      </c>
      <c r="F26" s="19">
        <v>2552.25</v>
      </c>
      <c r="G26" s="30">
        <v>2552.25</v>
      </c>
      <c r="H26" s="30">
        <v>2552.25</v>
      </c>
      <c r="I26" s="30">
        <v>2552.25</v>
      </c>
      <c r="J26" s="30">
        <v>2552.25</v>
      </c>
      <c r="K26" s="30">
        <v>2552.25</v>
      </c>
    </row>
    <row r="27" spans="2:11" x14ac:dyDescent="0.3">
      <c r="B27" s="4" t="s">
        <v>21</v>
      </c>
      <c r="C27" s="9">
        <f>SUM(C24:C26)</f>
        <v>20246.449000000001</v>
      </c>
      <c r="D27" s="9">
        <f t="shared" ref="D27:F27" si="20">SUM(D24:D26)</f>
        <v>19886.393</v>
      </c>
      <c r="E27" s="9">
        <f t="shared" si="20"/>
        <v>19283.024000000001</v>
      </c>
      <c r="F27" s="9">
        <f t="shared" si="20"/>
        <v>18131.406999999999</v>
      </c>
      <c r="G27" s="9">
        <f t="shared" ref="G27" si="21">SUM(G24:G26)</f>
        <v>19515.86</v>
      </c>
      <c r="H27" s="9">
        <f t="shared" ref="H27" si="22">SUM(H24:H26)</f>
        <v>19115.86</v>
      </c>
      <c r="I27" s="9">
        <f t="shared" ref="I27" si="23">SUM(I24:I26)</f>
        <v>18715.86</v>
      </c>
      <c r="J27" s="9">
        <f t="shared" ref="J27" si="24">SUM(J24:J26)</f>
        <v>18315.86</v>
      </c>
      <c r="K27" s="9">
        <f t="shared" ref="K27" si="25">SUM(K24:K26)</f>
        <v>17915.86</v>
      </c>
    </row>
    <row r="28" spans="2:11" x14ac:dyDescent="0.3">
      <c r="B28" s="3" t="s">
        <v>22</v>
      </c>
      <c r="C28" s="19">
        <v>4024.5610000000001</v>
      </c>
      <c r="D28" s="19">
        <v>4637.6009999999997</v>
      </c>
      <c r="E28" s="19">
        <v>5145.1719999999996</v>
      </c>
      <c r="F28" s="19">
        <v>6252.1260000000002</v>
      </c>
      <c r="G28" s="30">
        <v>6252.1260000000002</v>
      </c>
      <c r="H28" s="30">
        <v>6252.1260000000002</v>
      </c>
      <c r="I28" s="30">
        <v>6252.1260000000002</v>
      </c>
      <c r="J28" s="30">
        <v>6252.1260000000002</v>
      </c>
      <c r="K28" s="30">
        <v>6252.1260000000002</v>
      </c>
    </row>
    <row r="29" spans="2:11" x14ac:dyDescent="0.3">
      <c r="B29" t="s">
        <v>23</v>
      </c>
      <c r="C29" s="19">
        <v>-824.19</v>
      </c>
      <c r="D29" s="19">
        <v>-824.19</v>
      </c>
      <c r="E29" s="19">
        <v>-6922.2</v>
      </c>
      <c r="F29" s="19">
        <v>-13171.638000000001</v>
      </c>
      <c r="G29" s="10">
        <f>-13171.638-Assumptions!G127</f>
        <v>-19326.184500000003</v>
      </c>
      <c r="H29" s="10">
        <f>G29-Assumptions!H127</f>
        <v>-25535.330750000001</v>
      </c>
      <c r="I29" s="10">
        <f>H29-Assumptions!I127</f>
        <v>-31717.177125000002</v>
      </c>
      <c r="J29" s="10">
        <f>I29-Assumptions!J127</f>
        <v>-37912.673437500001</v>
      </c>
      <c r="K29" s="10">
        <f>J29-Assumptions!K127</f>
        <v>-44101.344781250002</v>
      </c>
    </row>
    <row r="30" spans="2:11" x14ac:dyDescent="0.3">
      <c r="B30" t="s">
        <v>24</v>
      </c>
      <c r="C30" s="19">
        <v>-40.494999999999997</v>
      </c>
      <c r="D30" s="19">
        <v>-217.30600000000001</v>
      </c>
      <c r="E30" s="19">
        <v>-223.94499999999999</v>
      </c>
      <c r="F30" s="19">
        <v>362.16199999999998</v>
      </c>
      <c r="G30" s="30">
        <v>362.16199999999998</v>
      </c>
      <c r="H30" s="30">
        <v>362.16199999999998</v>
      </c>
      <c r="I30" s="30">
        <v>362.16199999999998</v>
      </c>
      <c r="J30" s="30">
        <v>362.16199999999998</v>
      </c>
      <c r="K30" s="30">
        <v>362.16199999999998</v>
      </c>
    </row>
    <row r="31" spans="2:11" x14ac:dyDescent="0.3">
      <c r="B31" t="s">
        <v>25</v>
      </c>
      <c r="C31" s="19">
        <v>12689.371999999999</v>
      </c>
      <c r="D31" s="19">
        <v>17181.295999999998</v>
      </c>
      <c r="E31" s="19">
        <v>22589.286</v>
      </c>
      <c r="F31" s="19">
        <v>31300.917000000001</v>
      </c>
      <c r="G31" s="10">
        <f>F31+'P&amp;L'!G16</f>
        <v>43644.630810423288</v>
      </c>
      <c r="H31" s="10">
        <f>G31+'P&amp;L'!H16</f>
        <v>58751.230160991443</v>
      </c>
      <c r="I31" s="10">
        <f>H31+'P&amp;L'!I16</f>
        <v>75159.1757050218</v>
      </c>
      <c r="J31" s="10">
        <f>I31+'P&amp;L'!J16</f>
        <v>92394.239647681796</v>
      </c>
      <c r="K31" s="10">
        <f>J31+'P&amp;L'!K16</f>
        <v>111222.72133879855</v>
      </c>
    </row>
    <row r="32" spans="2:11" x14ac:dyDescent="0.3">
      <c r="B32" s="6" t="s">
        <v>26</v>
      </c>
      <c r="C32" s="12">
        <f>SUM(C28:C31)</f>
        <v>15849.248</v>
      </c>
      <c r="D32" s="12">
        <f t="shared" ref="D32:F32" si="26">SUM(D28:D31)</f>
        <v>20777.400999999998</v>
      </c>
      <c r="E32" s="12">
        <f t="shared" si="26"/>
        <v>20588.312999999998</v>
      </c>
      <c r="F32" s="12">
        <f t="shared" si="26"/>
        <v>24743.567000000003</v>
      </c>
      <c r="G32" s="12">
        <f t="shared" ref="G32" si="27">SUM(G28:G31)</f>
        <v>30932.734310423286</v>
      </c>
      <c r="H32" s="12">
        <f t="shared" ref="H32" si="28">SUM(H28:H31)</f>
        <v>39830.187410991442</v>
      </c>
      <c r="I32" s="12">
        <f t="shared" ref="I32" si="29">SUM(I28:I31)</f>
        <v>50056.286580021799</v>
      </c>
      <c r="J32" s="12">
        <f t="shared" ref="J32" si="30">SUM(J28:J31)</f>
        <v>61095.854210181795</v>
      </c>
      <c r="K32" s="12">
        <f t="shared" ref="K32" si="31">SUM(K28:K31)</f>
        <v>73735.664557548545</v>
      </c>
    </row>
    <row r="33" spans="2:11" ht="15" thickBot="1" x14ac:dyDescent="0.35">
      <c r="B33" s="14" t="s">
        <v>42</v>
      </c>
      <c r="C33" s="16">
        <f>SUM(C23,C27,C32)</f>
        <v>44584.663</v>
      </c>
      <c r="D33" s="16">
        <f t="shared" ref="D33:F33" si="32">SUM(D23,D27,D32)</f>
        <v>48594.767999999996</v>
      </c>
      <c r="E33" s="16">
        <f t="shared" si="32"/>
        <v>48731.991999999998</v>
      </c>
      <c r="F33" s="16">
        <f t="shared" si="32"/>
        <v>53630.374000000003</v>
      </c>
      <c r="G33" s="16">
        <f t="shared" ref="G33" si="33">SUM(G23,G27,G32)</f>
        <v>59577.444726050613</v>
      </c>
      <c r="H33" s="16">
        <f t="shared" ref="H33" si="34">SUM(H23,H27,H32)</f>
        <v>68526.84006603212</v>
      </c>
      <c r="I33" s="16">
        <f t="shared" ref="I33" si="35">SUM(I23,I27,I32)</f>
        <v>78885.221656211113</v>
      </c>
      <c r="J33" s="16">
        <f t="shared" ref="J33" si="36">SUM(J23,J27,J32)</f>
        <v>89960.024621414748</v>
      </c>
      <c r="K33" s="16">
        <f t="shared" ref="K33" si="37">SUM(K23,K27,K32)</f>
        <v>102616.85996408001</v>
      </c>
    </row>
    <row r="34" spans="2:11" ht="15" thickTop="1" x14ac:dyDescent="0.3"/>
    <row r="35" spans="2:11" x14ac:dyDescent="0.3">
      <c r="B35" s="6" t="s">
        <v>156</v>
      </c>
      <c r="C35" s="12">
        <f>C14-C33</f>
        <v>0</v>
      </c>
      <c r="D35" s="12">
        <f t="shared" ref="D35:K35" si="38">D14-D33</f>
        <v>0</v>
      </c>
      <c r="E35" s="12">
        <f t="shared" si="38"/>
        <v>0</v>
      </c>
      <c r="F35" s="12">
        <f t="shared" si="38"/>
        <v>0</v>
      </c>
      <c r="G35" s="12">
        <f t="shared" si="38"/>
        <v>0</v>
      </c>
      <c r="H35" s="12">
        <f t="shared" si="38"/>
        <v>0</v>
      </c>
      <c r="I35" s="12">
        <f t="shared" si="38"/>
        <v>0</v>
      </c>
      <c r="J35" s="12">
        <f t="shared" si="38"/>
        <v>0</v>
      </c>
      <c r="K35" s="12">
        <f t="shared" si="38"/>
        <v>0</v>
      </c>
    </row>
    <row r="36" spans="2:11" x14ac:dyDescent="0.3">
      <c r="G36" s="10"/>
      <c r="H36" s="10"/>
      <c r="I36" s="10"/>
      <c r="J36" s="10"/>
      <c r="K36" s="10"/>
    </row>
    <row r="37" spans="2:11" x14ac:dyDescent="0.3">
      <c r="D37" s="35"/>
      <c r="E37" s="35"/>
      <c r="F37" s="35"/>
      <c r="G37" s="35"/>
      <c r="H37" s="35"/>
      <c r="I37" s="35"/>
      <c r="J37" s="35"/>
      <c r="K37" s="35"/>
    </row>
  </sheetData>
  <pageMargins left="0.7" right="0.7" top="0.75" bottom="0.75" header="0.3" footer="0.3"/>
  <pageSetup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1503-0BCD-45DF-8F88-F6AB7802E461}">
  <sheetPr>
    <pageSetUpPr fitToPage="1"/>
  </sheetPr>
  <dimension ref="B3:K52"/>
  <sheetViews>
    <sheetView showGridLines="0" zoomScale="110" zoomScaleNormal="110" workbookViewId="0">
      <pane ySplit="3" topLeftCell="A4" activePane="bottomLeft" state="frozen"/>
      <selection pane="bottomLeft" activeCell="K10" sqref="K10"/>
    </sheetView>
  </sheetViews>
  <sheetFormatPr defaultRowHeight="14.4" x14ac:dyDescent="0.3"/>
  <cols>
    <col min="1" max="1" width="1.88671875" customWidth="1"/>
    <col min="2" max="2" width="31.21875" bestFit="1" customWidth="1"/>
    <col min="3" max="3" width="12.77734375" style="10" customWidth="1"/>
    <col min="4" max="8" width="12.77734375" customWidth="1"/>
  </cols>
  <sheetData>
    <row r="3" spans="2:11" ht="18" x14ac:dyDescent="0.35">
      <c r="B3" s="72" t="s">
        <v>282</v>
      </c>
      <c r="C3" s="58">
        <v>2024</v>
      </c>
      <c r="D3" s="59">
        <f>C3+1</f>
        <v>2025</v>
      </c>
      <c r="E3" s="59">
        <f t="shared" ref="E3:H3" si="0">D3+1</f>
        <v>2026</v>
      </c>
      <c r="F3" s="59">
        <f t="shared" si="0"/>
        <v>2027</v>
      </c>
      <c r="G3" s="59">
        <f t="shared" si="0"/>
        <v>2028</v>
      </c>
      <c r="H3" s="59">
        <f t="shared" si="0"/>
        <v>2029</v>
      </c>
    </row>
    <row r="4" spans="2:11" x14ac:dyDescent="0.3">
      <c r="B4" s="4"/>
      <c r="C4" s="8"/>
      <c r="D4" s="8"/>
      <c r="E4" s="8"/>
      <c r="F4" s="8"/>
      <c r="G4" s="8"/>
      <c r="H4" s="8"/>
    </row>
    <row r="5" spans="2:11" x14ac:dyDescent="0.3">
      <c r="B5" s="4" t="s">
        <v>43</v>
      </c>
      <c r="C5" s="8"/>
      <c r="D5" s="8"/>
      <c r="E5" s="8"/>
      <c r="F5" s="8"/>
      <c r="G5" s="8"/>
      <c r="H5" s="8"/>
    </row>
    <row r="6" spans="2:11" x14ac:dyDescent="0.3">
      <c r="B6" s="5" t="s">
        <v>38</v>
      </c>
      <c r="C6" s="8"/>
      <c r="D6" s="8">
        <f>'P&amp;L'!G16</f>
        <v>12343.713810423284</v>
      </c>
      <c r="E6" s="8">
        <f>'P&amp;L'!H16</f>
        <v>15106.599350568153</v>
      </c>
      <c r="F6" s="8">
        <f>'P&amp;L'!I16</f>
        <v>16407.94554403035</v>
      </c>
      <c r="G6" s="8">
        <f>'P&amp;L'!J16</f>
        <v>17235.063942659996</v>
      </c>
      <c r="H6" s="8">
        <f>'P&amp;L'!K16</f>
        <v>18828.481691116755</v>
      </c>
      <c r="K6" s="1"/>
    </row>
    <row r="7" spans="2:11" x14ac:dyDescent="0.3">
      <c r="B7" s="5" t="s">
        <v>78</v>
      </c>
      <c r="C7" s="8"/>
      <c r="D7" s="8">
        <f>-Assumptions!G54</f>
        <v>-17500</v>
      </c>
      <c r="E7" s="8">
        <f>-Assumptions!H54</f>
        <v>-19803.092241519949</v>
      </c>
      <c r="F7" s="8">
        <f>-Assumptions!I54</f>
        <v>-21949.351379118489</v>
      </c>
      <c r="G7" s="8">
        <f>-Assumptions!J54</f>
        <v>-23363.539892055087</v>
      </c>
      <c r="H7" s="8">
        <f>-Assumptions!K54</f>
        <v>-25337.174244559326</v>
      </c>
    </row>
    <row r="8" spans="2:11" x14ac:dyDescent="0.3">
      <c r="B8" s="5" t="s">
        <v>79</v>
      </c>
      <c r="C8" s="8"/>
      <c r="D8" s="8">
        <f>Assumptions!G49</f>
        <v>15029.310805902604</v>
      </c>
      <c r="E8" s="8">
        <f>Assumptions!H49</f>
        <v>16010.289272934804</v>
      </c>
      <c r="F8" s="8">
        <f>Assumptions!I49</f>
        <v>17795.632248779155</v>
      </c>
      <c r="G8" s="8">
        <f>Assumptions!J49</f>
        <v>19983.101946740546</v>
      </c>
      <c r="H8" s="8">
        <f>Assumptions!K49</f>
        <v>21359.957468204735</v>
      </c>
    </row>
    <row r="9" spans="2:11" x14ac:dyDescent="0.3">
      <c r="B9" s="5" t="s">
        <v>85</v>
      </c>
      <c r="C9" s="9"/>
      <c r="D9" s="8">
        <f>BS!G19-BS!F19</f>
        <v>-49.703694639310925</v>
      </c>
      <c r="E9" s="8">
        <f>BS!H19-BS!G19</f>
        <v>54.806002721261848</v>
      </c>
      <c r="F9" s="8">
        <f>BS!I19-BS!H19</f>
        <v>108.26128770005084</v>
      </c>
      <c r="G9" s="8">
        <f>BS!J19-BS!I19</f>
        <v>100.49781555230481</v>
      </c>
      <c r="H9" s="8">
        <f>BS!K19-BS!J19</f>
        <v>85.146174858733275</v>
      </c>
      <c r="J9" s="1"/>
    </row>
    <row r="10" spans="2:11" x14ac:dyDescent="0.3">
      <c r="B10" s="5" t="s">
        <v>4</v>
      </c>
      <c r="C10" s="8"/>
      <c r="D10" s="8">
        <f>BS!F9-BS!G9</f>
        <v>-103.46314446506494</v>
      </c>
      <c r="E10" s="8">
        <f>BS!G9-BS!H9</f>
        <v>-232.38038056982668</v>
      </c>
      <c r="F10" s="8">
        <f>BS!H9-BS!I9</f>
        <v>-138.4024639541085</v>
      </c>
      <c r="G10" s="8">
        <f>BS!I9-BS!J9</f>
        <v>-129.96719065739399</v>
      </c>
      <c r="H10" s="8">
        <f>BS!J9-BS!K9</f>
        <v>-170.48099267481757</v>
      </c>
    </row>
    <row r="11" spans="2:11" x14ac:dyDescent="0.3">
      <c r="B11" s="5" t="s">
        <v>14</v>
      </c>
      <c r="C11" s="8"/>
      <c r="D11" s="8">
        <f>BS!G20-BS!F20</f>
        <v>-103.47989399078142</v>
      </c>
      <c r="E11" s="8">
        <f>BS!H20-BS!G20</f>
        <v>178.50975585440074</v>
      </c>
      <c r="F11" s="8">
        <f>BS!I20-BS!H20</f>
        <v>231.19801300537301</v>
      </c>
      <c r="G11" s="8">
        <f>BS!J20-BS!I20</f>
        <v>185.52388688210976</v>
      </c>
      <c r="H11" s="8">
        <f>BS!K20-BS!J20</f>
        <v>120.4122632363642</v>
      </c>
    </row>
    <row r="12" spans="2:11" x14ac:dyDescent="0.3">
      <c r="B12" s="5" t="s">
        <v>15</v>
      </c>
      <c r="C12" s="8"/>
      <c r="D12" s="8">
        <f>BS!G21-BS!F21</f>
        <v>311.08700425742245</v>
      </c>
      <c r="E12" s="8">
        <f>BS!H21-BS!G21</f>
        <v>218.62648083768408</v>
      </c>
      <c r="F12" s="8">
        <f>BS!I21-BS!H21</f>
        <v>192.82312044321361</v>
      </c>
      <c r="G12" s="8">
        <f>BS!J21-BS!I21</f>
        <v>149.21363260922635</v>
      </c>
      <c r="H12" s="8">
        <f>BS!K21-BS!J21</f>
        <v>211.46655720341414</v>
      </c>
    </row>
    <row r="13" spans="2:11" x14ac:dyDescent="0.3">
      <c r="B13" s="5" t="s">
        <v>105</v>
      </c>
      <c r="C13" s="8"/>
      <c r="D13" s="8">
        <f>Assumptions!G48</f>
        <v>387.92580695291173</v>
      </c>
      <c r="E13" s="8">
        <f>Assumptions!H48</f>
        <v>430.06586326869478</v>
      </c>
      <c r="F13" s="8">
        <f>Assumptions!I48</f>
        <v>460.69487869666722</v>
      </c>
      <c r="G13" s="8">
        <f>Assumptions!J48</f>
        <v>512.8642202791907</v>
      </c>
      <c r="H13" s="8">
        <f>Assumptions!K48</f>
        <v>556.98591247354921</v>
      </c>
    </row>
    <row r="14" spans="2:11" x14ac:dyDescent="0.3">
      <c r="B14" s="53" t="s">
        <v>44</v>
      </c>
      <c r="C14" s="21"/>
      <c r="D14" s="21">
        <f>SUM(D6:D13)</f>
        <v>10315.390694441063</v>
      </c>
      <c r="E14" s="21">
        <f t="shared" ref="E14:H14" si="1">SUM(E6:E13)</f>
        <v>11963.424104095222</v>
      </c>
      <c r="F14" s="21">
        <f t="shared" si="1"/>
        <v>13108.801249582211</v>
      </c>
      <c r="G14" s="21">
        <f t="shared" si="1"/>
        <v>14672.758362010891</v>
      </c>
      <c r="H14" s="21">
        <f t="shared" si="1"/>
        <v>15654.794829859406</v>
      </c>
    </row>
    <row r="15" spans="2:11" x14ac:dyDescent="0.3">
      <c r="B15" s="4"/>
      <c r="C15" s="9"/>
      <c r="D15" s="8"/>
      <c r="E15" s="8"/>
      <c r="F15" s="8"/>
      <c r="G15" s="8"/>
      <c r="H15" s="8"/>
    </row>
    <row r="16" spans="2:11" x14ac:dyDescent="0.3">
      <c r="B16" s="4" t="s">
        <v>45</v>
      </c>
      <c r="C16" s="9"/>
      <c r="D16" s="8"/>
      <c r="E16" s="8"/>
      <c r="F16" s="8"/>
      <c r="G16" s="8"/>
      <c r="H16" s="8"/>
    </row>
    <row r="17" spans="2:8" x14ac:dyDescent="0.3">
      <c r="B17" s="5" t="s">
        <v>104</v>
      </c>
      <c r="C17" s="8"/>
      <c r="D17" s="8">
        <f>-Assumptions!G63</f>
        <v>-588.06075504567536</v>
      </c>
      <c r="E17" s="8">
        <f>-Assumptions!H63</f>
        <v>-600.26565226107289</v>
      </c>
      <c r="F17" s="8">
        <f>-Assumptions!I63</f>
        <v>-640.38209654521711</v>
      </c>
      <c r="G17" s="8">
        <f>-Assumptions!J63</f>
        <v>-710.8987484547647</v>
      </c>
      <c r="H17" s="8">
        <f>-Assumptions!K63</f>
        <v>-778.80988995458642</v>
      </c>
    </row>
    <row r="18" spans="2:8" x14ac:dyDescent="0.3">
      <c r="B18" s="5" t="s">
        <v>168</v>
      </c>
      <c r="C18" s="8"/>
      <c r="D18" s="8">
        <v>0</v>
      </c>
      <c r="E18" s="8">
        <v>0</v>
      </c>
      <c r="F18" s="8">
        <v>0</v>
      </c>
      <c r="G18" s="8">
        <v>0</v>
      </c>
      <c r="H18" s="8">
        <v>0</v>
      </c>
    </row>
    <row r="19" spans="2:8" x14ac:dyDescent="0.3">
      <c r="B19" s="5" t="s">
        <v>169</v>
      </c>
      <c r="C19" s="8"/>
      <c r="D19" s="8">
        <v>0</v>
      </c>
      <c r="E19" s="8">
        <v>0</v>
      </c>
      <c r="F19" s="8">
        <v>0</v>
      </c>
      <c r="G19" s="8">
        <v>0</v>
      </c>
      <c r="H19" s="8">
        <v>0</v>
      </c>
    </row>
    <row r="20" spans="2:8" x14ac:dyDescent="0.3">
      <c r="B20" s="5" t="s">
        <v>170</v>
      </c>
      <c r="C20" s="8"/>
      <c r="D20" s="8">
        <v>0</v>
      </c>
      <c r="E20" s="8">
        <v>0</v>
      </c>
      <c r="F20" s="8">
        <v>0</v>
      </c>
      <c r="G20" s="8">
        <v>0</v>
      </c>
      <c r="H20" s="8">
        <v>0</v>
      </c>
    </row>
    <row r="21" spans="2:8" x14ac:dyDescent="0.3">
      <c r="B21" s="5"/>
      <c r="C21" s="8"/>
      <c r="D21" s="8"/>
      <c r="E21" s="8"/>
      <c r="F21" s="8"/>
      <c r="G21" s="8"/>
      <c r="H21" s="8"/>
    </row>
    <row r="22" spans="2:8" x14ac:dyDescent="0.3">
      <c r="B22" s="53" t="s">
        <v>46</v>
      </c>
      <c r="C22" s="21"/>
      <c r="D22" s="21">
        <f>SUM(D17:D21)</f>
        <v>-588.06075504567536</v>
      </c>
      <c r="E22" s="21">
        <f>SUM(E17:E21)</f>
        <v>-600.26565226107289</v>
      </c>
      <c r="F22" s="21">
        <f t="shared" ref="F22:H22" si="2">SUM(F17:F21)</f>
        <v>-640.38209654521711</v>
      </c>
      <c r="G22" s="21">
        <f t="shared" si="2"/>
        <v>-710.8987484547647</v>
      </c>
      <c r="H22" s="21">
        <f t="shared" si="2"/>
        <v>-778.80988995458642</v>
      </c>
    </row>
    <row r="23" spans="2:8" x14ac:dyDescent="0.3">
      <c r="B23" s="5"/>
      <c r="C23" s="8"/>
      <c r="D23" s="8"/>
      <c r="E23" s="8"/>
      <c r="F23" s="8"/>
      <c r="G23" s="8"/>
      <c r="H23" s="8"/>
    </row>
    <row r="24" spans="2:8" x14ac:dyDescent="0.3">
      <c r="B24" s="4" t="s">
        <v>47</v>
      </c>
      <c r="C24" s="9"/>
      <c r="D24" s="8"/>
      <c r="E24" s="8"/>
      <c r="F24" s="8"/>
      <c r="G24" s="8"/>
      <c r="H24" s="8"/>
    </row>
    <row r="25" spans="2:8" x14ac:dyDescent="0.3">
      <c r="B25" s="5" t="s">
        <v>166</v>
      </c>
      <c r="C25" s="8"/>
      <c r="D25" s="8">
        <v>0</v>
      </c>
      <c r="E25" s="8">
        <v>0</v>
      </c>
      <c r="F25" s="8">
        <v>0</v>
      </c>
      <c r="G25" s="8">
        <v>0</v>
      </c>
      <c r="H25" s="8">
        <v>0</v>
      </c>
    </row>
    <row r="26" spans="2:8" x14ac:dyDescent="0.3">
      <c r="B26" s="5" t="s">
        <v>101</v>
      </c>
      <c r="C26" s="8"/>
      <c r="D26" s="8">
        <f>Assumptions!G91</f>
        <v>-400</v>
      </c>
      <c r="E26" s="8">
        <f>Assumptions!H91</f>
        <v>-400</v>
      </c>
      <c r="F26" s="8">
        <f>Assumptions!I91</f>
        <v>-400</v>
      </c>
      <c r="G26" s="8">
        <f>Assumptions!J91</f>
        <v>-400</v>
      </c>
      <c r="H26" s="8">
        <f>Assumptions!K91</f>
        <v>-400</v>
      </c>
    </row>
    <row r="27" spans="2:8" x14ac:dyDescent="0.3">
      <c r="B27" s="5" t="s">
        <v>165</v>
      </c>
      <c r="C27" s="8"/>
      <c r="D27" s="8">
        <f>-Assumptions!G127</f>
        <v>-6154.5465000000004</v>
      </c>
      <c r="E27" s="8">
        <f>-Assumptions!H127</f>
        <v>-6209.1462499999998</v>
      </c>
      <c r="F27" s="8">
        <f>-Assumptions!I127</f>
        <v>-6181.8463750000001</v>
      </c>
      <c r="G27" s="8">
        <f>-Assumptions!J127</f>
        <v>-6195.4963124999995</v>
      </c>
      <c r="H27" s="8">
        <f>-Assumptions!K127</f>
        <v>-6188.6713437500002</v>
      </c>
    </row>
    <row r="28" spans="2:8" x14ac:dyDescent="0.3">
      <c r="B28" s="5" t="s">
        <v>167</v>
      </c>
      <c r="C28" s="8"/>
      <c r="D28" s="8">
        <v>0</v>
      </c>
      <c r="E28" s="8">
        <v>0</v>
      </c>
      <c r="F28" s="8">
        <v>0</v>
      </c>
      <c r="G28" s="8">
        <v>0</v>
      </c>
      <c r="H28" s="8">
        <v>0</v>
      </c>
    </row>
    <row r="29" spans="2:8" x14ac:dyDescent="0.3">
      <c r="B29" s="4"/>
      <c r="C29" s="9"/>
      <c r="D29" s="8"/>
      <c r="E29" s="8"/>
      <c r="F29" s="8"/>
      <c r="G29" s="8"/>
      <c r="H29" s="8"/>
    </row>
    <row r="30" spans="2:8" x14ac:dyDescent="0.3">
      <c r="B30" s="54" t="s">
        <v>48</v>
      </c>
      <c r="C30" s="22"/>
      <c r="D30" s="21">
        <f>SUM(D26:D29)</f>
        <v>-6554.5465000000004</v>
      </c>
      <c r="E30" s="21">
        <f t="shared" ref="E30:H30" si="3">SUM(E26:E29)</f>
        <v>-6609.1462499999998</v>
      </c>
      <c r="F30" s="21">
        <f t="shared" si="3"/>
        <v>-6581.8463750000001</v>
      </c>
      <c r="G30" s="21">
        <f t="shared" si="3"/>
        <v>-6595.4963124999995</v>
      </c>
      <c r="H30" s="21">
        <f t="shared" si="3"/>
        <v>-6588.6713437500002</v>
      </c>
    </row>
    <row r="31" spans="2:8" x14ac:dyDescent="0.3">
      <c r="C31" s="11"/>
      <c r="D31" s="8"/>
      <c r="E31" s="8"/>
      <c r="F31" s="8"/>
      <c r="G31" s="8"/>
      <c r="H31" s="8"/>
    </row>
    <row r="32" spans="2:8" x14ac:dyDescent="0.3">
      <c r="B32" t="s">
        <v>49</v>
      </c>
      <c r="C32" s="11"/>
      <c r="D32" s="8">
        <f>D14+D22+D30</f>
        <v>3172.7834393953872</v>
      </c>
      <c r="E32" s="8">
        <f t="shared" ref="E32:H32" si="4">E14+E22+E30</f>
        <v>4754.0122018341499</v>
      </c>
      <c r="F32" s="8">
        <f t="shared" si="4"/>
        <v>5886.5727780369934</v>
      </c>
      <c r="G32" s="8">
        <f t="shared" si="4"/>
        <v>7366.3633010561261</v>
      </c>
      <c r="H32" s="8">
        <f t="shared" si="4"/>
        <v>8287.3135961548196</v>
      </c>
    </row>
    <row r="33" spans="2:8" x14ac:dyDescent="0.3">
      <c r="B33" t="s">
        <v>50</v>
      </c>
      <c r="C33" s="11"/>
      <c r="D33" s="8">
        <f>C34</f>
        <v>7804.7330000000002</v>
      </c>
      <c r="E33" s="8">
        <f t="shared" ref="E33:H33" si="5">D34</f>
        <v>10977.516439395387</v>
      </c>
      <c r="F33" s="8">
        <f t="shared" si="5"/>
        <v>15731.528641229537</v>
      </c>
      <c r="G33" s="8">
        <f t="shared" si="5"/>
        <v>21618.101419266532</v>
      </c>
      <c r="H33" s="8">
        <f t="shared" si="5"/>
        <v>28984.464720322656</v>
      </c>
    </row>
    <row r="34" spans="2:8" ht="15" thickBot="1" x14ac:dyDescent="0.35">
      <c r="B34" s="20" t="s">
        <v>51</v>
      </c>
      <c r="C34" s="16">
        <f>BS!F7</f>
        <v>7804.7330000000002</v>
      </c>
      <c r="D34" s="15">
        <f>D32+D33</f>
        <v>10977.516439395387</v>
      </c>
      <c r="E34" s="15">
        <f t="shared" ref="E34:H34" si="6">E32+E33</f>
        <v>15731.528641229537</v>
      </c>
      <c r="F34" s="15">
        <f t="shared" si="6"/>
        <v>21618.101419266532</v>
      </c>
      <c r="G34" s="15">
        <f t="shared" si="6"/>
        <v>28984.464720322656</v>
      </c>
      <c r="H34" s="15">
        <f t="shared" si="6"/>
        <v>37271.778316477474</v>
      </c>
    </row>
    <row r="35" spans="2:8" ht="15" thickTop="1" x14ac:dyDescent="0.3">
      <c r="B35" s="4"/>
      <c r="C35" s="12"/>
      <c r="D35" s="8"/>
      <c r="E35" s="8"/>
      <c r="F35" s="8"/>
      <c r="G35" s="8"/>
      <c r="H35" s="8"/>
    </row>
    <row r="37" spans="2:8" x14ac:dyDescent="0.3">
      <c r="C37"/>
    </row>
    <row r="38" spans="2:8" x14ac:dyDescent="0.3">
      <c r="C38"/>
    </row>
    <row r="39" spans="2:8" x14ac:dyDescent="0.3">
      <c r="C39"/>
    </row>
    <row r="40" spans="2:8" x14ac:dyDescent="0.3">
      <c r="C40"/>
    </row>
    <row r="41" spans="2:8" x14ac:dyDescent="0.3">
      <c r="C41"/>
    </row>
    <row r="42" spans="2:8" x14ac:dyDescent="0.3">
      <c r="C42"/>
    </row>
    <row r="43" spans="2:8" x14ac:dyDescent="0.3">
      <c r="C43"/>
    </row>
    <row r="44" spans="2:8" x14ac:dyDescent="0.3">
      <c r="C44"/>
    </row>
    <row r="45" spans="2:8" x14ac:dyDescent="0.3">
      <c r="C45"/>
    </row>
    <row r="46" spans="2:8" x14ac:dyDescent="0.3">
      <c r="C46"/>
    </row>
    <row r="47" spans="2:8" x14ac:dyDescent="0.3">
      <c r="C47"/>
    </row>
    <row r="48" spans="2:8" x14ac:dyDescent="0.3">
      <c r="C48"/>
    </row>
    <row r="49" spans="3:3" x14ac:dyDescent="0.3">
      <c r="C49"/>
    </row>
    <row r="50" spans="3:3" x14ac:dyDescent="0.3">
      <c r="C50"/>
    </row>
    <row r="51" spans="3:3" x14ac:dyDescent="0.3">
      <c r="C51"/>
    </row>
    <row r="52" spans="3:3" x14ac:dyDescent="0.3">
      <c r="C52"/>
    </row>
  </sheetData>
  <pageMargins left="0.25" right="0.25" top="0.75" bottom="0.75" header="0.3" footer="0.3"/>
  <pageSetup scale="7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390E2-4135-4CFB-8ADA-7E015B217A46}">
  <dimension ref="B3:L42"/>
  <sheetViews>
    <sheetView showGridLines="0" zoomScale="110" zoomScaleNormal="110" workbookViewId="0">
      <selection activeCell="C28" sqref="C28"/>
    </sheetView>
  </sheetViews>
  <sheetFormatPr defaultRowHeight="14.4" x14ac:dyDescent="0.3"/>
  <cols>
    <col min="1" max="1" width="1.88671875" customWidth="1"/>
    <col min="2" max="2" width="25.5546875" bestFit="1" customWidth="1"/>
    <col min="3" max="6" width="12.77734375" customWidth="1"/>
    <col min="8" max="12" width="9.5546875" bestFit="1" customWidth="1"/>
  </cols>
  <sheetData>
    <row r="3" spans="2:12" ht="15.6" x14ac:dyDescent="0.3">
      <c r="B3" s="128" t="s">
        <v>268</v>
      </c>
      <c r="C3" s="128"/>
      <c r="D3" s="128"/>
      <c r="E3" s="128"/>
      <c r="F3" s="128"/>
    </row>
    <row r="4" spans="2:12" x14ac:dyDescent="0.3">
      <c r="C4" s="123">
        <v>2021</v>
      </c>
      <c r="D4" s="123">
        <v>2022</v>
      </c>
      <c r="E4" s="123">
        <v>2023</v>
      </c>
      <c r="F4" s="123">
        <v>2024</v>
      </c>
    </row>
    <row r="5" spans="2:12" x14ac:dyDescent="0.3">
      <c r="B5" t="s">
        <v>185</v>
      </c>
      <c r="C5" s="10">
        <f>'P&amp;L'!C16</f>
        <v>5116.2280000000019</v>
      </c>
      <c r="D5" s="10">
        <f>'P&amp;L'!D16</f>
        <v>4491.9239999999991</v>
      </c>
      <c r="E5" s="10">
        <f>'P&amp;L'!E16</f>
        <v>5407.9900000000007</v>
      </c>
      <c r="F5" s="10">
        <f>'P&amp;L'!F16</f>
        <v>8711.6309999999976</v>
      </c>
    </row>
    <row r="6" spans="2:12" x14ac:dyDescent="0.3">
      <c r="B6" t="s">
        <v>266</v>
      </c>
      <c r="C6" s="10">
        <v>13867.387500000001</v>
      </c>
      <c r="D6" s="10">
        <v>19266.415000000001</v>
      </c>
      <c r="E6" s="10">
        <v>24776.677499999998</v>
      </c>
      <c r="F6" s="10">
        <v>32643.750500000002</v>
      </c>
      <c r="H6" s="125"/>
    </row>
    <row r="7" spans="2:12" x14ac:dyDescent="0.3">
      <c r="B7" s="76" t="s">
        <v>267</v>
      </c>
      <c r="C7" s="124">
        <f>C5/C6</f>
        <v>0.36893957135040767</v>
      </c>
      <c r="D7" s="124">
        <f t="shared" ref="D7:F7" si="0">D5/D6</f>
        <v>0.23314788973454578</v>
      </c>
      <c r="E7" s="124">
        <f t="shared" si="0"/>
        <v>0.21826937853148393</v>
      </c>
      <c r="F7" s="124">
        <f t="shared" si="0"/>
        <v>0.26686979487850199</v>
      </c>
      <c r="H7" s="125"/>
      <c r="I7" s="126"/>
      <c r="J7" s="126"/>
      <c r="K7" s="126"/>
      <c r="L7" s="126"/>
    </row>
    <row r="9" spans="2:12" ht="15.6" x14ac:dyDescent="0.3">
      <c r="B9" s="128" t="s">
        <v>269</v>
      </c>
      <c r="C9" s="128"/>
      <c r="D9" s="128"/>
      <c r="E9" s="128"/>
      <c r="F9" s="128"/>
      <c r="H9" s="125"/>
      <c r="I9" s="126"/>
      <c r="J9" s="126"/>
      <c r="K9" s="126"/>
      <c r="L9" s="126"/>
    </row>
    <row r="10" spans="2:12" x14ac:dyDescent="0.3">
      <c r="C10" s="123">
        <v>2021</v>
      </c>
      <c r="D10" s="123">
        <v>2022</v>
      </c>
      <c r="E10" s="123">
        <v>2023</v>
      </c>
      <c r="F10" s="123">
        <v>2024</v>
      </c>
    </row>
    <row r="11" spans="2:12" x14ac:dyDescent="0.3">
      <c r="B11" t="s">
        <v>185</v>
      </c>
      <c r="C11" s="10">
        <f>C5</f>
        <v>5116.2280000000019</v>
      </c>
      <c r="D11" s="10">
        <f t="shared" ref="D11:F11" si="1">D5</f>
        <v>4491.9239999999991</v>
      </c>
      <c r="E11" s="10">
        <f t="shared" si="1"/>
        <v>5407.9900000000007</v>
      </c>
      <c r="F11" s="10">
        <f t="shared" si="1"/>
        <v>8711.6309999999976</v>
      </c>
      <c r="I11" s="125"/>
      <c r="J11" s="125"/>
      <c r="K11" s="125"/>
      <c r="L11" s="125"/>
    </row>
    <row r="12" spans="2:12" x14ac:dyDescent="0.3">
      <c r="B12" t="s">
        <v>55</v>
      </c>
      <c r="C12" s="10">
        <f>'P&amp;L'!C5</f>
        <v>29697.844000000001</v>
      </c>
      <c r="D12" s="10">
        <f>'P&amp;L'!D5</f>
        <v>31615.55</v>
      </c>
      <c r="E12" s="10">
        <f>'P&amp;L'!E5</f>
        <v>33723.296999999999</v>
      </c>
      <c r="F12" s="10">
        <f>'P&amp;L'!F5</f>
        <v>39000.966</v>
      </c>
    </row>
    <row r="13" spans="2:12" x14ac:dyDescent="0.3">
      <c r="B13" s="76" t="s">
        <v>271</v>
      </c>
      <c r="C13" s="124">
        <f>C11/C12</f>
        <v>0.17227607499049433</v>
      </c>
      <c r="D13" s="124">
        <f t="shared" ref="D13" si="2">D11/D12</f>
        <v>0.14207957792921519</v>
      </c>
      <c r="E13" s="124">
        <f t="shared" ref="E13" si="3">E11/E12</f>
        <v>0.16036362043723071</v>
      </c>
      <c r="F13" s="124">
        <f t="shared" ref="F13" si="4">F11/F12</f>
        <v>0.22336962115246062</v>
      </c>
    </row>
    <row r="15" spans="2:12" x14ac:dyDescent="0.3">
      <c r="B15" t="s">
        <v>55</v>
      </c>
      <c r="C15" s="10">
        <f>C12</f>
        <v>29697.844000000001</v>
      </c>
      <c r="D15" s="10">
        <f t="shared" ref="D15:F15" si="5">D12</f>
        <v>31615.55</v>
      </c>
      <c r="E15" s="10">
        <f t="shared" si="5"/>
        <v>33723.296999999999</v>
      </c>
      <c r="F15" s="10">
        <f t="shared" si="5"/>
        <v>39000.966</v>
      </c>
    </row>
    <row r="16" spans="2:12" x14ac:dyDescent="0.3">
      <c r="B16" t="s">
        <v>270</v>
      </c>
      <c r="C16" s="10">
        <v>41932.510999999999</v>
      </c>
      <c r="D16" s="10">
        <v>46589.715499999998</v>
      </c>
      <c r="E16" s="10">
        <v>48663.38</v>
      </c>
      <c r="F16" s="10">
        <v>51181.183000000005</v>
      </c>
    </row>
    <row r="17" spans="2:6" x14ac:dyDescent="0.3">
      <c r="B17" s="76" t="s">
        <v>272</v>
      </c>
      <c r="C17" s="77">
        <f>C15/C16</f>
        <v>0.70822956440648166</v>
      </c>
      <c r="D17" s="77">
        <f t="shared" ref="D17:F17" si="6">D15/D16</f>
        <v>0.67859504314852492</v>
      </c>
      <c r="E17" s="77">
        <f t="shared" si="6"/>
        <v>0.69299125954670637</v>
      </c>
      <c r="F17" s="77">
        <f t="shared" si="6"/>
        <v>0.76201767356569305</v>
      </c>
    </row>
    <row r="19" spans="2:6" x14ac:dyDescent="0.3">
      <c r="B19" t="s">
        <v>270</v>
      </c>
      <c r="C19" s="10">
        <f>C16</f>
        <v>41932.510999999999</v>
      </c>
      <c r="D19" s="10">
        <f t="shared" ref="D19:F19" si="7">D16</f>
        <v>46589.715499999998</v>
      </c>
      <c r="E19" s="10">
        <f t="shared" si="7"/>
        <v>48663.38</v>
      </c>
      <c r="F19" s="10">
        <f t="shared" si="7"/>
        <v>51181.183000000005</v>
      </c>
    </row>
    <row r="20" spans="2:6" x14ac:dyDescent="0.3">
      <c r="B20" t="s">
        <v>266</v>
      </c>
      <c r="C20" s="10">
        <f>C6</f>
        <v>13867.387500000001</v>
      </c>
      <c r="D20" s="10">
        <f t="shared" ref="D20:F20" si="8">D6</f>
        <v>19266.415000000001</v>
      </c>
      <c r="E20" s="10">
        <f t="shared" si="8"/>
        <v>24776.677499999998</v>
      </c>
      <c r="F20" s="10">
        <f t="shared" si="8"/>
        <v>32643.750500000002</v>
      </c>
    </row>
    <row r="21" spans="2:6" x14ac:dyDescent="0.3">
      <c r="B21" s="76" t="s">
        <v>273</v>
      </c>
      <c r="C21" s="77">
        <f>C19/C20</f>
        <v>3.0238219707929845</v>
      </c>
      <c r="D21" s="77">
        <f t="shared" ref="D21:F21" si="9">D19/D20</f>
        <v>2.4181829105207169</v>
      </c>
      <c r="E21" s="77">
        <f t="shared" si="9"/>
        <v>1.9640801314058352</v>
      </c>
      <c r="F21" s="77">
        <f t="shared" si="9"/>
        <v>1.5678707935229441</v>
      </c>
    </row>
    <row r="23" spans="2:6" x14ac:dyDescent="0.3">
      <c r="B23" s="6" t="s">
        <v>274</v>
      </c>
      <c r="C23" s="127">
        <f>C13*C17*C21</f>
        <v>0.36893957135040767</v>
      </c>
      <c r="D23" s="127">
        <f t="shared" ref="D23:F23" si="10">D13*D17*D21</f>
        <v>0.23314788973454578</v>
      </c>
      <c r="E23" s="127">
        <f t="shared" si="10"/>
        <v>0.21826937853148393</v>
      </c>
      <c r="F23" s="127">
        <f t="shared" si="10"/>
        <v>0.26686979487850204</v>
      </c>
    </row>
    <row r="26" spans="2:6" ht="15.6" x14ac:dyDescent="0.3">
      <c r="B26" s="128" t="s">
        <v>275</v>
      </c>
      <c r="C26" s="128"/>
      <c r="D26" s="128"/>
      <c r="E26" s="128"/>
      <c r="F26" s="128"/>
    </row>
    <row r="27" spans="2:6" x14ac:dyDescent="0.3">
      <c r="C27" s="123">
        <f>C4</f>
        <v>2021</v>
      </c>
      <c r="D27" s="123">
        <f t="shared" ref="D27:F27" si="11">D4</f>
        <v>2022</v>
      </c>
      <c r="E27" s="123">
        <f t="shared" si="11"/>
        <v>2023</v>
      </c>
      <c r="F27" s="123">
        <f t="shared" si="11"/>
        <v>2024</v>
      </c>
    </row>
    <row r="28" spans="2:6" x14ac:dyDescent="0.3">
      <c r="B28" t="s">
        <v>185</v>
      </c>
      <c r="C28" s="10">
        <f>C5</f>
        <v>5116.2280000000019</v>
      </c>
      <c r="D28" s="10">
        <f t="shared" ref="D28:F28" si="12">D5</f>
        <v>4491.9239999999991</v>
      </c>
      <c r="E28" s="10">
        <f t="shared" si="12"/>
        <v>5407.9900000000007</v>
      </c>
      <c r="F28" s="10">
        <f t="shared" si="12"/>
        <v>8711.6309999999976</v>
      </c>
    </row>
    <row r="29" spans="2:6" x14ac:dyDescent="0.3">
      <c r="B29" t="str">
        <f>B16</f>
        <v>Average Total Assets</v>
      </c>
      <c r="C29" s="10">
        <f>C16</f>
        <v>41932.510999999999</v>
      </c>
      <c r="D29" s="10">
        <f t="shared" ref="D29:F29" si="13">D16</f>
        <v>46589.715499999998</v>
      </c>
      <c r="E29" s="10">
        <f t="shared" si="13"/>
        <v>48663.38</v>
      </c>
      <c r="F29" s="10">
        <f t="shared" si="13"/>
        <v>51181.183000000005</v>
      </c>
    </row>
    <row r="30" spans="2:6" x14ac:dyDescent="0.3">
      <c r="B30" s="76" t="s">
        <v>275</v>
      </c>
      <c r="C30" s="124">
        <f>C28/C29</f>
        <v>0.12201100954817616</v>
      </c>
      <c r="D30" s="124">
        <f t="shared" ref="D30:F30" si="14">D28/D29</f>
        <v>9.6414497315399986E-2</v>
      </c>
      <c r="E30" s="124">
        <f t="shared" si="14"/>
        <v>0.11113058731226645</v>
      </c>
      <c r="F30" s="124">
        <f t="shared" si="14"/>
        <v>0.17021159905584826</v>
      </c>
    </row>
    <row r="32" spans="2:6" ht="15.6" x14ac:dyDescent="0.3">
      <c r="B32" s="128" t="s">
        <v>276</v>
      </c>
      <c r="C32" s="128"/>
      <c r="D32" s="128"/>
      <c r="E32" s="128"/>
      <c r="F32" s="128"/>
    </row>
    <row r="33" spans="2:6" x14ac:dyDescent="0.3">
      <c r="C33" s="123">
        <f>C27</f>
        <v>2021</v>
      </c>
      <c r="D33" s="123">
        <f t="shared" ref="D33:F33" si="15">D27</f>
        <v>2022</v>
      </c>
      <c r="E33" s="123">
        <f t="shared" si="15"/>
        <v>2023</v>
      </c>
      <c r="F33" s="123">
        <f t="shared" si="15"/>
        <v>2024</v>
      </c>
    </row>
    <row r="34" spans="2:6" x14ac:dyDescent="0.3">
      <c r="B34" t="str">
        <f>B28</f>
        <v>Net Profit</v>
      </c>
      <c r="C34" s="10">
        <f t="shared" ref="C34:F34" si="16">C28</f>
        <v>5116.2280000000019</v>
      </c>
      <c r="D34" s="10">
        <f t="shared" si="16"/>
        <v>4491.9239999999991</v>
      </c>
      <c r="E34" s="10">
        <f t="shared" si="16"/>
        <v>5407.9900000000007</v>
      </c>
      <c r="F34" s="10">
        <f t="shared" si="16"/>
        <v>8711.6309999999976</v>
      </c>
    </row>
    <row r="35" spans="2:6" x14ac:dyDescent="0.3">
      <c r="B35" t="s">
        <v>55</v>
      </c>
      <c r="C35" s="10">
        <f>C12</f>
        <v>29697.844000000001</v>
      </c>
      <c r="D35" s="10">
        <f t="shared" ref="D35:F35" si="17">D12</f>
        <v>31615.55</v>
      </c>
      <c r="E35" s="10">
        <f t="shared" si="17"/>
        <v>33723.296999999999</v>
      </c>
      <c r="F35" s="10">
        <f t="shared" si="17"/>
        <v>39000.966</v>
      </c>
    </row>
    <row r="36" spans="2:6" x14ac:dyDescent="0.3">
      <c r="B36" s="76" t="s">
        <v>277</v>
      </c>
      <c r="C36" s="124">
        <f t="shared" ref="C36:F36" si="18">C34/C35</f>
        <v>0.17227607499049433</v>
      </c>
      <c r="D36" s="124">
        <f t="shared" si="18"/>
        <v>0.14207957792921519</v>
      </c>
      <c r="E36" s="124">
        <f t="shared" si="18"/>
        <v>0.16036362043723071</v>
      </c>
      <c r="F36" s="124">
        <f t="shared" si="18"/>
        <v>0.22336962115246062</v>
      </c>
    </row>
    <row r="38" spans="2:6" x14ac:dyDescent="0.3">
      <c r="B38" t="s">
        <v>55</v>
      </c>
      <c r="C38" s="10">
        <f t="shared" ref="C38:F38" si="19">C35</f>
        <v>29697.844000000001</v>
      </c>
      <c r="D38" s="10">
        <f t="shared" si="19"/>
        <v>31615.55</v>
      </c>
      <c r="E38" s="10">
        <f t="shared" si="19"/>
        <v>33723.296999999999</v>
      </c>
      <c r="F38" s="10">
        <f t="shared" si="19"/>
        <v>39000.966</v>
      </c>
    </row>
    <row r="39" spans="2:6" x14ac:dyDescent="0.3">
      <c r="B39" t="s">
        <v>278</v>
      </c>
      <c r="C39" s="10">
        <f>C19</f>
        <v>41932.510999999999</v>
      </c>
      <c r="D39" s="10">
        <f t="shared" ref="D39:F39" si="20">D19</f>
        <v>46589.715499999998</v>
      </c>
      <c r="E39" s="10">
        <f t="shared" si="20"/>
        <v>48663.38</v>
      </c>
      <c r="F39" s="10">
        <f t="shared" si="20"/>
        <v>51181.183000000005</v>
      </c>
    </row>
    <row r="40" spans="2:6" x14ac:dyDescent="0.3">
      <c r="B40" s="76" t="s">
        <v>279</v>
      </c>
      <c r="C40" s="77">
        <f t="shared" ref="C40:F40" si="21">C38/C39</f>
        <v>0.70822956440648166</v>
      </c>
      <c r="D40" s="77">
        <f t="shared" si="21"/>
        <v>0.67859504314852492</v>
      </c>
      <c r="E40" s="77">
        <f t="shared" si="21"/>
        <v>0.69299125954670637</v>
      </c>
      <c r="F40" s="77">
        <f t="shared" si="21"/>
        <v>0.76201767356569305</v>
      </c>
    </row>
    <row r="42" spans="2:6" x14ac:dyDescent="0.3">
      <c r="B42" s="76" t="s">
        <v>280</v>
      </c>
      <c r="C42" s="124">
        <f>C40*C36</f>
        <v>0.12201100954817616</v>
      </c>
      <c r="D42" s="124">
        <f t="shared" ref="D42:F42" si="22">D40*D36</f>
        <v>9.6414497315399986E-2</v>
      </c>
      <c r="E42" s="124">
        <f t="shared" si="22"/>
        <v>0.11113058731226645</v>
      </c>
      <c r="F42" s="124">
        <f t="shared" si="22"/>
        <v>0.17021159905584826</v>
      </c>
    </row>
  </sheetData>
  <mergeCells count="4">
    <mergeCell ref="B3:F3"/>
    <mergeCell ref="B9:F9"/>
    <mergeCell ref="B26:F26"/>
    <mergeCell ref="B32:F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F5900-7027-40C0-8615-CA5022598F8B}">
  <dimension ref="B3:M131"/>
  <sheetViews>
    <sheetView showGridLines="0" zoomScale="110" zoomScaleNormal="110" workbookViewId="0">
      <pane ySplit="4" topLeftCell="A8" activePane="bottomLeft" state="frozen"/>
      <selection pane="bottomLeft" activeCell="G114" sqref="G114"/>
    </sheetView>
  </sheetViews>
  <sheetFormatPr defaultRowHeight="14.4" x14ac:dyDescent="0.3"/>
  <cols>
    <col min="1" max="1" width="1.88671875" customWidth="1"/>
    <col min="2" max="2" width="33.5546875" style="1" bestFit="1" customWidth="1"/>
    <col min="3" max="6" width="12.77734375" style="10" customWidth="1"/>
    <col min="7" max="11" width="12.77734375" style="1" customWidth="1"/>
    <col min="12" max="13" width="8.88671875" style="1"/>
  </cols>
  <sheetData>
    <row r="3" spans="2:11" x14ac:dyDescent="0.3">
      <c r="B3" s="60" t="s">
        <v>175</v>
      </c>
      <c r="C3" s="58">
        <v>2021</v>
      </c>
      <c r="D3" s="58">
        <f>C3+1</f>
        <v>2022</v>
      </c>
      <c r="E3" s="58">
        <f t="shared" ref="E3:J3" si="0">D3+1</f>
        <v>2023</v>
      </c>
      <c r="F3" s="58">
        <f t="shared" si="0"/>
        <v>2024</v>
      </c>
      <c r="G3" s="59">
        <f t="shared" si="0"/>
        <v>2025</v>
      </c>
      <c r="H3" s="59">
        <f t="shared" si="0"/>
        <v>2026</v>
      </c>
      <c r="I3" s="59">
        <f t="shared" si="0"/>
        <v>2027</v>
      </c>
      <c r="J3" s="59">
        <f t="shared" si="0"/>
        <v>2028</v>
      </c>
      <c r="K3" s="59">
        <f>J3+1</f>
        <v>2029</v>
      </c>
    </row>
    <row r="4" spans="2:11" x14ac:dyDescent="0.3">
      <c r="B4" s="60" t="s">
        <v>52</v>
      </c>
      <c r="C4" s="61">
        <v>1</v>
      </c>
      <c r="D4" s="61">
        <f>C4+1</f>
        <v>2</v>
      </c>
      <c r="E4" s="61">
        <f t="shared" ref="E4:K4" si="1">D4+1</f>
        <v>3</v>
      </c>
      <c r="F4" s="61">
        <f t="shared" si="1"/>
        <v>4</v>
      </c>
      <c r="G4" s="61">
        <f t="shared" si="1"/>
        <v>5</v>
      </c>
      <c r="H4" s="61">
        <f t="shared" si="1"/>
        <v>6</v>
      </c>
      <c r="I4" s="61">
        <f t="shared" si="1"/>
        <v>7</v>
      </c>
      <c r="J4" s="61">
        <f t="shared" si="1"/>
        <v>8</v>
      </c>
      <c r="K4" s="61">
        <f t="shared" si="1"/>
        <v>9</v>
      </c>
    </row>
    <row r="5" spans="2:11" ht="15" thickBot="1" x14ac:dyDescent="0.35">
      <c r="B5" s="23" t="s">
        <v>55</v>
      </c>
      <c r="C5" s="129" t="s">
        <v>53</v>
      </c>
      <c r="D5" s="129"/>
      <c r="E5" s="129"/>
      <c r="F5" s="129"/>
      <c r="G5" s="129"/>
      <c r="H5" s="129"/>
      <c r="I5" s="129"/>
      <c r="J5" s="129"/>
      <c r="K5" s="129"/>
    </row>
    <row r="6" spans="2:11" x14ac:dyDescent="0.3">
      <c r="B6" t="s">
        <v>27</v>
      </c>
      <c r="C6" s="10">
        <v>12972.1</v>
      </c>
      <c r="D6" s="10">
        <v>14084.643</v>
      </c>
      <c r="E6" s="10">
        <v>14873.782999999999</v>
      </c>
      <c r="F6" s="10">
        <v>17359.368999999999</v>
      </c>
      <c r="G6" s="10">
        <f>G25*G9</f>
        <v>20001.437584960535</v>
      </c>
      <c r="H6" s="10">
        <f t="shared" ref="H6:K6" si="2">H25*H9</f>
        <v>22453.048610109083</v>
      </c>
      <c r="I6" s="10">
        <f t="shared" si="2"/>
        <v>24433.007250395356</v>
      </c>
      <c r="J6" s="10">
        <f t="shared" si="2"/>
        <v>26413.105360321199</v>
      </c>
      <c r="K6" s="10">
        <f t="shared" si="2"/>
        <v>28512.987503018223</v>
      </c>
    </row>
    <row r="7" spans="2:11" x14ac:dyDescent="0.3">
      <c r="B7" t="s">
        <v>58</v>
      </c>
      <c r="C7" s="11">
        <v>1279</v>
      </c>
      <c r="D7" s="8">
        <v>-919</v>
      </c>
      <c r="E7" s="8">
        <v>5832</v>
      </c>
      <c r="F7" s="8">
        <v>9497</v>
      </c>
      <c r="G7" s="74" t="s">
        <v>188</v>
      </c>
      <c r="H7" s="74" t="s">
        <v>188</v>
      </c>
      <c r="I7" s="74" t="s">
        <v>188</v>
      </c>
      <c r="J7" s="74" t="s">
        <v>188</v>
      </c>
      <c r="K7" s="74" t="s">
        <v>188</v>
      </c>
    </row>
    <row r="8" spans="2:11" x14ac:dyDescent="0.3">
      <c r="B8" t="s">
        <v>59</v>
      </c>
      <c r="C8" s="11">
        <v>75215</v>
      </c>
      <c r="D8" s="8">
        <v>74296</v>
      </c>
      <c r="E8" s="8">
        <v>80128</v>
      </c>
      <c r="F8" s="8">
        <v>89625</v>
      </c>
      <c r="G8" s="74" t="s">
        <v>188</v>
      </c>
      <c r="H8" s="74" t="s">
        <v>188</v>
      </c>
      <c r="I8" s="74" t="s">
        <v>188</v>
      </c>
      <c r="J8" s="74" t="s">
        <v>188</v>
      </c>
      <c r="K8" s="74" t="s">
        <v>188</v>
      </c>
    </row>
    <row r="9" spans="2:11" x14ac:dyDescent="0.3">
      <c r="C9" s="25">
        <f>C6/C25</f>
        <v>0.43950133855111229</v>
      </c>
      <c r="D9" s="25">
        <f t="shared" ref="D9:F9" si="3">D6/D25</f>
        <v>0.44755987412969084</v>
      </c>
      <c r="E9" s="25">
        <f t="shared" si="3"/>
        <v>0.44213972948881969</v>
      </c>
      <c r="F9" s="25">
        <f t="shared" si="3"/>
        <v>0.44510100083162041</v>
      </c>
      <c r="G9" s="25">
        <f>AVERAGE(C9:F9)</f>
        <v>0.44357548575031081</v>
      </c>
      <c r="H9" s="25">
        <f t="shared" ref="H9:K9" si="4">AVERAGE(D9:G9)</f>
        <v>0.44459402255011038</v>
      </c>
      <c r="I9" s="25">
        <f t="shared" si="4"/>
        <v>0.44385255965521536</v>
      </c>
      <c r="J9" s="25">
        <f t="shared" si="4"/>
        <v>0.44428076719681425</v>
      </c>
      <c r="K9" s="25">
        <f t="shared" si="4"/>
        <v>0.4440757087881127</v>
      </c>
    </row>
    <row r="10" spans="2:11" x14ac:dyDescent="0.3">
      <c r="C10" s="129" t="s">
        <v>54</v>
      </c>
      <c r="D10" s="129"/>
      <c r="E10" s="129"/>
      <c r="F10" s="129"/>
      <c r="G10" s="129"/>
      <c r="H10" s="129"/>
      <c r="I10" s="129"/>
      <c r="J10" s="129"/>
      <c r="K10" s="129"/>
    </row>
    <row r="11" spans="2:11" x14ac:dyDescent="0.3">
      <c r="B11" t="s">
        <v>27</v>
      </c>
      <c r="C11" s="10">
        <v>9699.8189999999995</v>
      </c>
      <c r="D11" s="10">
        <v>9745.0149999999994</v>
      </c>
      <c r="E11" s="10">
        <v>10556.486999999999</v>
      </c>
      <c r="F11" s="10">
        <v>12387.035</v>
      </c>
      <c r="G11" s="10">
        <f>G25*G14</f>
        <v>14313.231365239119</v>
      </c>
      <c r="H11" s="10">
        <f t="shared" ref="H11:K11" si="5">H25*H14</f>
        <v>15889.315493020054</v>
      </c>
      <c r="I11" s="10">
        <f t="shared" si="5"/>
        <v>17387.657794946572</v>
      </c>
      <c r="J11" s="10">
        <f t="shared" si="5"/>
        <v>18809.327983684907</v>
      </c>
      <c r="K11" s="10">
        <f t="shared" si="5"/>
        <v>20294.382837424248</v>
      </c>
    </row>
    <row r="12" spans="2:11" x14ac:dyDescent="0.3">
      <c r="B12" t="s">
        <v>58</v>
      </c>
      <c r="C12" s="11">
        <v>7338</v>
      </c>
      <c r="D12" s="24">
        <v>2693</v>
      </c>
      <c r="E12" s="24">
        <v>12084</v>
      </c>
      <c r="F12" s="24">
        <v>12320</v>
      </c>
      <c r="G12" s="74" t="s">
        <v>188</v>
      </c>
      <c r="H12" s="74" t="s">
        <v>188</v>
      </c>
      <c r="I12" s="74" t="s">
        <v>188</v>
      </c>
      <c r="J12" s="74" t="s">
        <v>188</v>
      </c>
      <c r="K12" s="74" t="s">
        <v>188</v>
      </c>
    </row>
    <row r="13" spans="2:11" x14ac:dyDescent="0.3">
      <c r="B13" t="s">
        <v>59</v>
      </c>
      <c r="C13" s="11">
        <v>74036</v>
      </c>
      <c r="D13" s="24">
        <v>76729</v>
      </c>
      <c r="E13" s="24">
        <v>88813</v>
      </c>
      <c r="F13" s="24">
        <v>101133</v>
      </c>
      <c r="G13" s="74" t="s">
        <v>188</v>
      </c>
      <c r="H13" s="74" t="s">
        <v>188</v>
      </c>
      <c r="I13" s="74" t="s">
        <v>188</v>
      </c>
      <c r="J13" s="74" t="s">
        <v>188</v>
      </c>
      <c r="K13" s="74" t="s">
        <v>188</v>
      </c>
    </row>
    <row r="14" spans="2:11" x14ac:dyDescent="0.3">
      <c r="C14" s="25">
        <f>C11/C25</f>
        <v>0.32863479576965265</v>
      </c>
      <c r="D14" s="25">
        <f t="shared" ref="D14:F14" si="6">D11/D25</f>
        <v>0.30966192659565095</v>
      </c>
      <c r="E14" s="25">
        <f t="shared" si="6"/>
        <v>0.31380330790977934</v>
      </c>
      <c r="F14" s="25">
        <f t="shared" si="6"/>
        <v>0.31760841513515331</v>
      </c>
      <c r="G14" s="25">
        <f>AVERAGE(C14:F14)</f>
        <v>0.31742711135255902</v>
      </c>
      <c r="H14" s="25">
        <f t="shared" ref="H14:K14" si="7">AVERAGE(D14:G14)</f>
        <v>0.31462519024828567</v>
      </c>
      <c r="I14" s="25">
        <f t="shared" si="7"/>
        <v>0.31586600616144433</v>
      </c>
      <c r="J14" s="25">
        <f t="shared" si="7"/>
        <v>0.31638168072436057</v>
      </c>
      <c r="K14" s="25">
        <f t="shared" si="7"/>
        <v>0.31607499712166243</v>
      </c>
    </row>
    <row r="15" spans="2:11" x14ac:dyDescent="0.3">
      <c r="C15" s="129" t="s">
        <v>56</v>
      </c>
      <c r="D15" s="129"/>
      <c r="E15" s="129"/>
      <c r="F15" s="129"/>
      <c r="G15" s="129"/>
      <c r="H15" s="129"/>
      <c r="I15" s="129"/>
      <c r="J15" s="129"/>
      <c r="K15" s="129"/>
    </row>
    <row r="16" spans="2:11" x14ac:dyDescent="0.3">
      <c r="B16" t="s">
        <v>27</v>
      </c>
      <c r="C16" s="10">
        <v>3576.9760000000001</v>
      </c>
      <c r="D16" s="10">
        <v>4069.973</v>
      </c>
      <c r="E16" s="10">
        <v>4446.4610000000002</v>
      </c>
      <c r="F16" s="10">
        <v>4839.8159999999998</v>
      </c>
      <c r="G16" s="10">
        <f>G25*G19</f>
        <v>5712.9648250009313</v>
      </c>
      <c r="H16" s="10">
        <f t="shared" ref="H16:K16" si="8">H25*H19</f>
        <v>6468.0583964418611</v>
      </c>
      <c r="I16" s="10">
        <f t="shared" si="8"/>
        <v>7032.9138732069432</v>
      </c>
      <c r="J16" s="10">
        <f t="shared" si="8"/>
        <v>7529.922358312464</v>
      </c>
      <c r="K16" s="10">
        <f t="shared" si="8"/>
        <v>8173.4416579882864</v>
      </c>
    </row>
    <row r="17" spans="2:11" x14ac:dyDescent="0.3">
      <c r="B17" t="s">
        <v>58</v>
      </c>
      <c r="C17" s="11">
        <v>2424</v>
      </c>
      <c r="D17" s="24">
        <v>1738</v>
      </c>
      <c r="E17" s="24">
        <v>4298</v>
      </c>
      <c r="F17" s="24">
        <v>7330</v>
      </c>
      <c r="G17" s="74" t="s">
        <v>188</v>
      </c>
      <c r="H17" s="74" t="s">
        <v>188</v>
      </c>
      <c r="I17" s="74" t="s">
        <v>188</v>
      </c>
      <c r="J17" s="74" t="s">
        <v>188</v>
      </c>
      <c r="K17" s="74" t="s">
        <v>188</v>
      </c>
    </row>
    <row r="18" spans="2:11" x14ac:dyDescent="0.3">
      <c r="B18" t="s">
        <v>59</v>
      </c>
      <c r="C18" s="11">
        <v>39961</v>
      </c>
      <c r="D18" s="24">
        <v>41699</v>
      </c>
      <c r="E18" s="24">
        <v>45997</v>
      </c>
      <c r="F18" s="24">
        <v>53327</v>
      </c>
      <c r="G18" s="74" t="s">
        <v>188</v>
      </c>
      <c r="H18" s="74" t="s">
        <v>188</v>
      </c>
      <c r="I18" s="74" t="s">
        <v>188</v>
      </c>
      <c r="J18" s="74" t="s">
        <v>188</v>
      </c>
      <c r="K18" s="74" t="s">
        <v>188</v>
      </c>
    </row>
    <row r="19" spans="2:11" x14ac:dyDescent="0.3">
      <c r="C19" s="25">
        <f>C16/C25</f>
        <v>0.12118976418353261</v>
      </c>
      <c r="D19" s="25">
        <f t="shared" ref="D19:F19" si="9">D16/D25</f>
        <v>0.12932927043953049</v>
      </c>
      <c r="E19" s="25">
        <f t="shared" si="9"/>
        <v>0.13217599475013095</v>
      </c>
      <c r="F19" s="25">
        <f t="shared" si="9"/>
        <v>0.12409477242179077</v>
      </c>
      <c r="G19" s="25">
        <f>AVERAGE(C19:F19)</f>
        <v>0.12669745044874622</v>
      </c>
      <c r="H19" s="25">
        <f t="shared" ref="H19:K19" si="10">AVERAGE(D19:G19)</f>
        <v>0.12807437201504962</v>
      </c>
      <c r="I19" s="25">
        <f t="shared" si="10"/>
        <v>0.1277606474089294</v>
      </c>
      <c r="J19" s="25">
        <f t="shared" si="10"/>
        <v>0.12665681057362899</v>
      </c>
      <c r="K19" s="25">
        <f t="shared" si="10"/>
        <v>0.12729732011158856</v>
      </c>
    </row>
    <row r="20" spans="2:11" x14ac:dyDescent="0.3">
      <c r="B20" s="73"/>
      <c r="C20" s="129" t="s">
        <v>57</v>
      </c>
      <c r="D20" s="129"/>
      <c r="E20" s="129"/>
      <c r="F20" s="129"/>
      <c r="G20" s="129"/>
      <c r="H20" s="129"/>
      <c r="I20" s="129"/>
      <c r="J20" s="129"/>
      <c r="K20" s="129"/>
    </row>
    <row r="21" spans="2:11" x14ac:dyDescent="0.3">
      <c r="B21" t="s">
        <v>27</v>
      </c>
      <c r="C21" s="10">
        <v>3266.6010000000001</v>
      </c>
      <c r="D21" s="10">
        <v>3570.221</v>
      </c>
      <c r="E21" s="10">
        <v>3763.7269999999999</v>
      </c>
      <c r="F21" s="10">
        <v>4414.7460000000001</v>
      </c>
      <c r="G21" s="10">
        <f>G25*G26</f>
        <v>7041.516778120259</v>
      </c>
      <c r="H21" s="10">
        <f t="shared" ref="H21:K21" si="11">H25*H26</f>
        <v>6060.2835318358484</v>
      </c>
      <c r="I21" s="10">
        <f t="shared" si="11"/>
        <v>4954.2817872758069</v>
      </c>
      <c r="J21" s="10">
        <f t="shared" si="11"/>
        <v>4756.1105157847751</v>
      </c>
      <c r="K21" s="10">
        <f t="shared" si="11"/>
        <v>5136.5993570475575</v>
      </c>
    </row>
    <row r="22" spans="2:11" x14ac:dyDescent="0.3">
      <c r="B22" t="s">
        <v>58</v>
      </c>
      <c r="C22" s="11">
        <v>7140</v>
      </c>
      <c r="D22" s="24">
        <v>5391</v>
      </c>
      <c r="E22" s="24">
        <v>7315</v>
      </c>
      <c r="F22" s="24">
        <v>12203</v>
      </c>
      <c r="G22" s="74" t="s">
        <v>188</v>
      </c>
      <c r="H22" s="74" t="s">
        <v>188</v>
      </c>
      <c r="I22" s="74" t="s">
        <v>188</v>
      </c>
      <c r="J22" s="74" t="s">
        <v>188</v>
      </c>
      <c r="K22" s="74" t="s">
        <v>188</v>
      </c>
    </row>
    <row r="23" spans="2:11" x14ac:dyDescent="0.3">
      <c r="B23" t="s">
        <v>59</v>
      </c>
      <c r="C23" s="11">
        <v>32632</v>
      </c>
      <c r="D23" s="24">
        <v>38023</v>
      </c>
      <c r="E23" s="24">
        <v>45338</v>
      </c>
      <c r="F23" s="24">
        <v>57541</v>
      </c>
      <c r="G23" s="74" t="s">
        <v>188</v>
      </c>
      <c r="H23" s="74" t="s">
        <v>188</v>
      </c>
      <c r="I23" s="74" t="s">
        <v>188</v>
      </c>
      <c r="J23" s="74" t="s">
        <v>188</v>
      </c>
      <c r="K23" s="74" t="s">
        <v>188</v>
      </c>
    </row>
    <row r="24" spans="2:11" x14ac:dyDescent="0.3">
      <c r="C24" s="25">
        <f>C21/C25</f>
        <v>0.11067410149570246</v>
      </c>
      <c r="D24" s="25">
        <f t="shared" ref="D24:F24" si="12">D21/D25</f>
        <v>0.11344892883512765</v>
      </c>
      <c r="E24" s="25">
        <f t="shared" si="12"/>
        <v>0.11188096785127004</v>
      </c>
      <c r="F24" s="25">
        <f t="shared" si="12"/>
        <v>0.11319581161143547</v>
      </c>
      <c r="G24" s="25">
        <f>AVERAGE(C24:F24)</f>
        <v>0.11229995244838389</v>
      </c>
      <c r="H24" s="25">
        <f t="shared" ref="H24:K24" si="13">AVERAGE(D24:G24)</f>
        <v>0.11270641518655425</v>
      </c>
      <c r="I24" s="25">
        <f t="shared" si="13"/>
        <v>0.11252078677441091</v>
      </c>
      <c r="J24" s="25">
        <f t="shared" si="13"/>
        <v>0.11268074150519614</v>
      </c>
      <c r="K24" s="25">
        <f t="shared" si="13"/>
        <v>0.1125519739786363</v>
      </c>
    </row>
    <row r="25" spans="2:11" x14ac:dyDescent="0.3">
      <c r="B25" s="78" t="s">
        <v>60</v>
      </c>
      <c r="C25" s="12">
        <f>C6+C11+C16+C21</f>
        <v>29515.495999999999</v>
      </c>
      <c r="D25" s="12">
        <f t="shared" ref="D25:F25" si="14">D6+D11+D16+D21</f>
        <v>31469.852000000003</v>
      </c>
      <c r="E25" s="12">
        <f t="shared" si="14"/>
        <v>33640.457999999999</v>
      </c>
      <c r="F25" s="12">
        <f t="shared" si="14"/>
        <v>39000.966</v>
      </c>
      <c r="G25" s="12">
        <v>45091.395326159589</v>
      </c>
      <c r="H25" s="12">
        <f>G25*(1+H26)</f>
        <v>50502.362765298742</v>
      </c>
      <c r="I25" s="12">
        <f t="shared" ref="I25:K25" si="15">H25*(1+I26)</f>
        <v>55047.575414175633</v>
      </c>
      <c r="J25" s="12">
        <f t="shared" si="15"/>
        <v>59451.381447309686</v>
      </c>
      <c r="K25" s="12">
        <f t="shared" si="15"/>
        <v>64207.491963094464</v>
      </c>
    </row>
    <row r="26" spans="2:11" x14ac:dyDescent="0.3">
      <c r="B26" s="2" t="s">
        <v>63</v>
      </c>
      <c r="C26" s="26"/>
      <c r="D26" s="25">
        <f>D25/C25-1</f>
        <v>6.6214574201971965E-2</v>
      </c>
      <c r="E26" s="25">
        <f>E25/D25-1</f>
        <v>6.8974140710925447E-2</v>
      </c>
      <c r="F26" s="25">
        <f>F25/E25-1</f>
        <v>0.15934705764112977</v>
      </c>
      <c r="G26" s="27">
        <f>G25/F25-1</f>
        <v>0.15616098652940003</v>
      </c>
      <c r="H26" s="27">
        <v>0.12</v>
      </c>
      <c r="I26" s="27">
        <v>0.09</v>
      </c>
      <c r="J26" s="27">
        <v>0.08</v>
      </c>
      <c r="K26" s="27">
        <v>0.08</v>
      </c>
    </row>
    <row r="27" spans="2:11" x14ac:dyDescent="0.3">
      <c r="B27" s="1" t="s">
        <v>61</v>
      </c>
      <c r="C27" s="10">
        <f>C7+C12+C17+C22</f>
        <v>18181</v>
      </c>
      <c r="D27" s="10">
        <f t="shared" ref="D27:F27" si="16">D7+D12+D17+D22</f>
        <v>8903</v>
      </c>
      <c r="E27" s="10">
        <f t="shared" si="16"/>
        <v>29529</v>
      </c>
      <c r="F27" s="10">
        <f t="shared" si="16"/>
        <v>41350</v>
      </c>
    </row>
    <row r="28" spans="2:11" x14ac:dyDescent="0.3">
      <c r="B28" s="1" t="s">
        <v>62</v>
      </c>
      <c r="C28" s="10">
        <f>C8+C13+C18+C23</f>
        <v>221844</v>
      </c>
      <c r="D28" s="10">
        <f t="shared" ref="D28:F28" si="17">D8+D13+D18+D23</f>
        <v>230747</v>
      </c>
      <c r="E28" s="10">
        <f t="shared" si="17"/>
        <v>260276</v>
      </c>
      <c r="F28" s="10">
        <f t="shared" si="17"/>
        <v>301626</v>
      </c>
    </row>
    <row r="29" spans="2:11" x14ac:dyDescent="0.3">
      <c r="B29" s="1" t="s">
        <v>64</v>
      </c>
      <c r="D29" s="25">
        <f>D28/C28-1</f>
        <v>4.0131804330971299E-2</v>
      </c>
      <c r="E29" s="25">
        <f t="shared" ref="E29:F29" si="18">E28/D28-1</f>
        <v>0.12797132790458821</v>
      </c>
      <c r="F29" s="25">
        <f t="shared" si="18"/>
        <v>0.15886981511933485</v>
      </c>
    </row>
    <row r="32" spans="2:11" ht="15" thickBot="1" x14ac:dyDescent="0.35">
      <c r="B32" s="23" t="s">
        <v>65</v>
      </c>
    </row>
    <row r="33" spans="2:11" x14ac:dyDescent="0.3">
      <c r="B33" s="1" t="str">
        <f>'P&amp;L'!B7</f>
        <v>Sales and marketing</v>
      </c>
      <c r="C33" s="10">
        <f>'P&amp;L'!C7</f>
        <v>2545.1460000000002</v>
      </c>
      <c r="D33" s="10">
        <f>'P&amp;L'!D7</f>
        <v>2530.502</v>
      </c>
      <c r="E33" s="10">
        <f>'P&amp;L'!E7</f>
        <v>2657.8829999999998</v>
      </c>
      <c r="F33" s="10">
        <f>'P&amp;L'!F7</f>
        <v>2917.5540000000001</v>
      </c>
      <c r="G33" s="10">
        <v>3017.4712249999998</v>
      </c>
      <c r="H33" s="10">
        <f>G33*(1+H34)</f>
        <v>3251.2503806280588</v>
      </c>
      <c r="I33" s="10">
        <f t="shared" ref="I33:K33" si="19">H33*(1+I34)</f>
        <v>3497.4482587174007</v>
      </c>
      <c r="J33" s="10">
        <f t="shared" si="19"/>
        <v>3759.0112239644277</v>
      </c>
      <c r="K33" s="10">
        <f t="shared" si="19"/>
        <v>4036.9617438342798</v>
      </c>
    </row>
    <row r="34" spans="2:11" x14ac:dyDescent="0.3">
      <c r="B34" s="2" t="s">
        <v>66</v>
      </c>
      <c r="C34" s="27">
        <f>C33/C25</f>
        <v>8.6230839556279193E-2</v>
      </c>
      <c r="D34" s="27">
        <f t="shared" ref="D34:E34" si="20">D33/D25</f>
        <v>8.0410355917784421E-2</v>
      </c>
      <c r="E34" s="27">
        <f t="shared" si="20"/>
        <v>7.9008525983802008E-2</v>
      </c>
      <c r="F34" s="27">
        <f>F33/F25</f>
        <v>7.4807224005682321E-2</v>
      </c>
      <c r="G34" s="28">
        <f>G33/G25</f>
        <v>6.6919003130724283E-2</v>
      </c>
      <c r="H34" s="28">
        <f>AVERAGE(C34:G34)</f>
        <v>7.7475189718854448E-2</v>
      </c>
      <c r="I34" s="28">
        <f t="shared" ref="I34:K34" si="21">AVERAGE(D34:H34)</f>
        <v>7.5724059751369491E-2</v>
      </c>
      <c r="J34" s="28">
        <f t="shared" si="21"/>
        <v>7.4786800518086519E-2</v>
      </c>
      <c r="K34" s="28">
        <f t="shared" si="21"/>
        <v>7.3942455424943404E-2</v>
      </c>
    </row>
    <row r="35" spans="2:11" x14ac:dyDescent="0.3">
      <c r="B35" s="1" t="str">
        <f>'P&amp;L'!B8</f>
        <v>Technology and development</v>
      </c>
      <c r="C35" s="10">
        <f>'P&amp;L'!C8</f>
        <v>2273.8850000000002</v>
      </c>
      <c r="D35" s="10">
        <f>'P&amp;L'!D8</f>
        <v>2711.0410000000002</v>
      </c>
      <c r="E35" s="10">
        <f>'P&amp;L'!E8</f>
        <v>2675.7579999999998</v>
      </c>
      <c r="F35" s="10">
        <f>'P&amp;L'!F8</f>
        <v>2925.2950000000001</v>
      </c>
      <c r="G35" s="10">
        <v>3401.6211199999998</v>
      </c>
      <c r="H35" s="10">
        <f>G35*(1+H36)</f>
        <v>3669.1052656623319</v>
      </c>
      <c r="I35" s="10">
        <f t="shared" ref="I35:K35" si="22">H35*(1+I36)</f>
        <v>3958.7925073480083</v>
      </c>
      <c r="J35" s="10">
        <f t="shared" si="22"/>
        <v>4265.6554325828183</v>
      </c>
      <c r="K35" s="10">
        <f t="shared" si="22"/>
        <v>4594.5765064925145</v>
      </c>
    </row>
    <row r="36" spans="2:11" x14ac:dyDescent="0.3">
      <c r="B36" s="2" t="s">
        <v>66</v>
      </c>
      <c r="C36" s="27">
        <f>C35/C25</f>
        <v>7.7040379060545019E-2</v>
      </c>
      <c r="D36" s="27">
        <f t="shared" ref="D36:G36" si="23">D35/D25</f>
        <v>8.6147243399810072E-2</v>
      </c>
      <c r="E36" s="27">
        <f t="shared" si="23"/>
        <v>7.953988022398506E-2</v>
      </c>
      <c r="F36" s="27">
        <f t="shared" si="23"/>
        <v>7.5005706268916519E-2</v>
      </c>
      <c r="G36" s="27">
        <f t="shared" si="23"/>
        <v>7.5438364579207495E-2</v>
      </c>
      <c r="H36" s="27">
        <f>AVERAGE(C36:G36)</f>
        <v>7.8634314706492833E-2</v>
      </c>
      <c r="I36" s="27">
        <f t="shared" ref="I36:K36" si="24">AVERAGE(D36:H36)</f>
        <v>7.8953101835682396E-2</v>
      </c>
      <c r="J36" s="27">
        <f t="shared" si="24"/>
        <v>7.7514273522856864E-2</v>
      </c>
      <c r="K36" s="27">
        <f t="shared" si="24"/>
        <v>7.7109152182631216E-2</v>
      </c>
    </row>
    <row r="37" spans="2:11" x14ac:dyDescent="0.3">
      <c r="B37" s="1" t="str">
        <f>'P&amp;L'!B9</f>
        <v>General and administrative</v>
      </c>
      <c r="C37" s="10">
        <f>'P&amp;L'!C9</f>
        <v>1351.6210000000001</v>
      </c>
      <c r="D37" s="10">
        <f>'P&amp;L'!D9</f>
        <v>1572.8910000000001</v>
      </c>
      <c r="E37" s="10">
        <f>'P&amp;L'!E9</f>
        <v>1720.2850000000001</v>
      </c>
      <c r="F37" s="10">
        <f>'P&amp;L'!F9</f>
        <v>1702.039</v>
      </c>
      <c r="G37" s="10">
        <v>1803.723205</v>
      </c>
      <c r="H37" s="10">
        <f>G37*(1+H38)</f>
        <v>1886.8944375735375</v>
      </c>
      <c r="I37" s="10">
        <f t="shared" ref="I37:K37" si="25">H37*(1+I38)</f>
        <v>1974.0204932230179</v>
      </c>
      <c r="J37" s="10">
        <f t="shared" si="25"/>
        <v>2063.6666854135437</v>
      </c>
      <c r="K37" s="10">
        <f t="shared" si="25"/>
        <v>2155.0213361290048</v>
      </c>
    </row>
    <row r="38" spans="2:11" x14ac:dyDescent="0.3">
      <c r="B38" s="2" t="s">
        <v>66</v>
      </c>
      <c r="C38" s="27">
        <f>C37/C25</f>
        <v>4.5793606178937331E-2</v>
      </c>
      <c r="D38" s="27">
        <f t="shared" ref="D38:G38" si="26">D37/D25</f>
        <v>4.9980883291093965E-2</v>
      </c>
      <c r="E38" s="27">
        <f t="shared" si="26"/>
        <v>5.1137383444660595E-2</v>
      </c>
      <c r="F38" s="27">
        <f t="shared" si="26"/>
        <v>4.3640944688395668E-2</v>
      </c>
      <c r="G38" s="27">
        <f t="shared" si="26"/>
        <v>4.0001494563499954E-2</v>
      </c>
      <c r="H38" s="27">
        <f>AVERAGE(C38:G38)</f>
        <v>4.6110862433317502E-2</v>
      </c>
      <c r="I38" s="27">
        <f t="shared" ref="I38:K38" si="27">AVERAGE(D38:H38)</f>
        <v>4.617431368419353E-2</v>
      </c>
      <c r="J38" s="27">
        <f t="shared" si="27"/>
        <v>4.5412999762813447E-2</v>
      </c>
      <c r="K38" s="27">
        <f t="shared" si="27"/>
        <v>4.426812302644402E-2</v>
      </c>
    </row>
    <row r="40" spans="2:11" ht="15" thickBot="1" x14ac:dyDescent="0.35">
      <c r="B40" s="23" t="s">
        <v>67</v>
      </c>
    </row>
    <row r="41" spans="2:11" x14ac:dyDescent="0.3">
      <c r="B41" s="1" t="str">
        <f>'P&amp;L'!B14</f>
        <v>Income before income taxes</v>
      </c>
      <c r="C41" s="10">
        <f>'P&amp;L'!C14</f>
        <v>5840.1030000000019</v>
      </c>
      <c r="D41" s="10">
        <f>'P&amp;L'!D14</f>
        <v>5263.9289999999992</v>
      </c>
      <c r="E41" s="10">
        <f>'P&amp;L'!E14</f>
        <v>6205.4050000000007</v>
      </c>
      <c r="F41" s="10">
        <f>'P&amp;L'!F14</f>
        <v>9965.6569999999974</v>
      </c>
      <c r="G41" s="10">
        <f>'P&amp;L'!G14</f>
        <v>14120.572593219511</v>
      </c>
      <c r="H41" s="10">
        <f>'P&amp;L'!H14</f>
        <v>17281.171294351767</v>
      </c>
      <c r="I41" s="10">
        <f>'P&amp;L'!I14</f>
        <v>18769.844288226268</v>
      </c>
      <c r="J41" s="10">
        <f>'P&amp;L'!J14</f>
        <v>19716.025119247726</v>
      </c>
      <c r="K41" s="10">
        <f>'P&amp;L'!K14</f>
        <v>21538.812923142581</v>
      </c>
    </row>
    <row r="42" spans="2:11" x14ac:dyDescent="0.3">
      <c r="B42" s="1" t="s">
        <v>67</v>
      </c>
      <c r="C42" s="10">
        <f>'P&amp;L'!C15</f>
        <v>-723.875</v>
      </c>
      <c r="D42" s="10">
        <f>'P&amp;L'!D15</f>
        <v>-772.005</v>
      </c>
      <c r="E42" s="10">
        <f>'P&amp;L'!E15</f>
        <v>-797.41499999999996</v>
      </c>
      <c r="F42" s="10">
        <f>'P&amp;L'!F15</f>
        <v>-1254.0260000000001</v>
      </c>
      <c r="G42" s="10">
        <f>-G41*G43</f>
        <v>-1776.8587827962269</v>
      </c>
      <c r="H42" s="10">
        <f t="shared" ref="H42:K42" si="28">-H41*H43</f>
        <v>-2174.5719437836137</v>
      </c>
      <c r="I42" s="10">
        <f t="shared" si="28"/>
        <v>-2361.8987441959166</v>
      </c>
      <c r="J42" s="10">
        <f t="shared" si="28"/>
        <v>-2480.9611765877312</v>
      </c>
      <c r="K42" s="10">
        <f t="shared" si="28"/>
        <v>-2710.3312320258274</v>
      </c>
    </row>
    <row r="43" spans="2:11" x14ac:dyDescent="0.3">
      <c r="B43" s="2" t="s">
        <v>68</v>
      </c>
      <c r="C43" s="27">
        <f>-C42/C41</f>
        <v>0.12394901254310066</v>
      </c>
      <c r="D43" s="27">
        <f t="shared" ref="D43:F43" si="29">-D42/D41</f>
        <v>0.14665946292208731</v>
      </c>
      <c r="E43" s="27">
        <f t="shared" si="29"/>
        <v>0.12850329672277633</v>
      </c>
      <c r="F43" s="27">
        <f t="shared" si="29"/>
        <v>0.12583475429668114</v>
      </c>
      <c r="G43" s="27">
        <f>F43</f>
        <v>0.12583475429668114</v>
      </c>
      <c r="H43" s="27">
        <f t="shared" ref="H43:K43" si="30">G43</f>
        <v>0.12583475429668114</v>
      </c>
      <c r="I43" s="27">
        <f t="shared" si="30"/>
        <v>0.12583475429668114</v>
      </c>
      <c r="J43" s="27">
        <f t="shared" si="30"/>
        <v>0.12583475429668114</v>
      </c>
      <c r="K43" s="27">
        <f t="shared" si="30"/>
        <v>0.12583475429668114</v>
      </c>
    </row>
    <row r="45" spans="2:11" ht="15" thickBot="1" x14ac:dyDescent="0.35">
      <c r="B45" s="23" t="s">
        <v>69</v>
      </c>
      <c r="G45" s="10"/>
      <c r="H45" s="10"/>
      <c r="I45" s="10"/>
      <c r="J45" s="10"/>
      <c r="K45" s="10"/>
    </row>
    <row r="46" spans="2:11" x14ac:dyDescent="0.3">
      <c r="B46" s="1" t="s">
        <v>70</v>
      </c>
      <c r="C46" s="18">
        <v>4893.9039999999995</v>
      </c>
      <c r="D46" s="18">
        <v>4805.4710000000005</v>
      </c>
      <c r="E46" s="18">
        <v>5160.9839999999995</v>
      </c>
      <c r="F46" s="18">
        <v>5408.0330000000004</v>
      </c>
      <c r="G46" s="8">
        <f>'P&amp;L'!G5*Assumptions!G47</f>
        <v>6859.4175132368055</v>
      </c>
      <c r="H46" s="8">
        <f>'P&amp;L'!H5*Assumptions!H47</f>
        <v>7522.6150069320793</v>
      </c>
      <c r="I46" s="8">
        <f>'P&amp;L'!I5*Assumptions!I47</f>
        <v>8157.7953889463315</v>
      </c>
      <c r="J46" s="8">
        <f>'P&amp;L'!J5*Assumptions!J47</f>
        <v>8738.4268663925668</v>
      </c>
      <c r="K46" s="8">
        <f>'P&amp;L'!K5*Assumptions!K47</f>
        <v>9571.0580976925721</v>
      </c>
    </row>
    <row r="47" spans="2:11" x14ac:dyDescent="0.3">
      <c r="B47" s="2" t="s">
        <v>80</v>
      </c>
      <c r="C47" s="27">
        <f>C46/'P&amp;L'!C5</f>
        <v>0.1647898749821704</v>
      </c>
      <c r="D47" s="27">
        <f>D46/'P&amp;L'!D5</f>
        <v>0.15199707106155042</v>
      </c>
      <c r="E47" s="27">
        <f>E46/'P&amp;L'!E5</f>
        <v>0.15303912900331185</v>
      </c>
      <c r="F47" s="27">
        <f>F46/'P&amp;L'!F5</f>
        <v>0.13866407821796004</v>
      </c>
      <c r="G47" s="27">
        <f>AVERAGE(C47:F47)</f>
        <v>0.15212253831624817</v>
      </c>
      <c r="H47" s="27">
        <f t="shared" ref="H47:K47" si="31">AVERAGE(D47:G47)</f>
        <v>0.14895570414976761</v>
      </c>
      <c r="I47" s="27">
        <f t="shared" si="31"/>
        <v>0.14819536242182191</v>
      </c>
      <c r="J47" s="27">
        <f t="shared" si="31"/>
        <v>0.14698442077644944</v>
      </c>
      <c r="K47" s="27">
        <f t="shared" si="31"/>
        <v>0.14906450641607177</v>
      </c>
    </row>
    <row r="48" spans="2:11" x14ac:dyDescent="0.3">
      <c r="B48" s="1" t="s">
        <v>106</v>
      </c>
      <c r="C48" s="8">
        <f>-C65</f>
        <v>208.41200000000001</v>
      </c>
      <c r="D48" s="8">
        <f t="shared" ref="D48:K48" si="32">-D65</f>
        <v>336.68200000000002</v>
      </c>
      <c r="E48" s="8">
        <f t="shared" si="32"/>
        <v>356.947</v>
      </c>
      <c r="F48" s="8">
        <f t="shared" si="32"/>
        <v>328.91399999999999</v>
      </c>
      <c r="G48" s="8">
        <f t="shared" si="32"/>
        <v>387.92580695291173</v>
      </c>
      <c r="H48" s="8">
        <f t="shared" si="32"/>
        <v>430.06586326869478</v>
      </c>
      <c r="I48" s="8">
        <f t="shared" si="32"/>
        <v>460.69487869666722</v>
      </c>
      <c r="J48" s="8">
        <f t="shared" si="32"/>
        <v>512.8642202791907</v>
      </c>
      <c r="K48" s="8">
        <f t="shared" si="32"/>
        <v>556.98591247354921</v>
      </c>
    </row>
    <row r="49" spans="2:11" x14ac:dyDescent="0.3">
      <c r="B49" s="1" t="s">
        <v>79</v>
      </c>
      <c r="C49" s="18">
        <v>12230.367</v>
      </c>
      <c r="D49" s="18">
        <v>14026.132</v>
      </c>
      <c r="E49" s="18">
        <v>14197.437</v>
      </c>
      <c r="F49" s="18">
        <v>15301.517</v>
      </c>
      <c r="G49" s="10">
        <f>G56</f>
        <v>15029.310805902604</v>
      </c>
      <c r="H49" s="10">
        <f t="shared" ref="H49:K49" si="33">H56</f>
        <v>16010.289272934804</v>
      </c>
      <c r="I49" s="10">
        <f t="shared" si="33"/>
        <v>17795.632248779155</v>
      </c>
      <c r="J49" s="10">
        <f t="shared" si="33"/>
        <v>19983.101946740546</v>
      </c>
      <c r="K49" s="10">
        <f t="shared" si="33"/>
        <v>21359.957468204735</v>
      </c>
    </row>
    <row r="50" spans="2:11" x14ac:dyDescent="0.3">
      <c r="C50" s="10">
        <f>C46+C48+C49</f>
        <v>17332.683000000001</v>
      </c>
      <c r="D50" s="10">
        <f t="shared" ref="D50:K50" si="34">D46+D48+D49</f>
        <v>19168.285</v>
      </c>
      <c r="E50" s="10">
        <f t="shared" si="34"/>
        <v>19715.367999999999</v>
      </c>
      <c r="F50" s="10">
        <f t="shared" si="34"/>
        <v>21038.464</v>
      </c>
      <c r="G50" s="10">
        <f t="shared" si="34"/>
        <v>22276.654126092319</v>
      </c>
      <c r="H50" s="10">
        <f t="shared" si="34"/>
        <v>23962.970143135579</v>
      </c>
      <c r="I50" s="10">
        <f t="shared" si="34"/>
        <v>26414.122516422154</v>
      </c>
      <c r="J50" s="10">
        <f t="shared" si="34"/>
        <v>29234.393033412303</v>
      </c>
      <c r="K50" s="10">
        <f t="shared" si="34"/>
        <v>31488.001478370854</v>
      </c>
    </row>
    <row r="52" spans="2:11" ht="15" thickBot="1" x14ac:dyDescent="0.35">
      <c r="B52" s="23" t="s">
        <v>102</v>
      </c>
      <c r="C52" s="18"/>
    </row>
    <row r="53" spans="2:11" x14ac:dyDescent="0.3">
      <c r="B53" s="1" t="s">
        <v>71</v>
      </c>
      <c r="C53" s="10">
        <v>25383.95</v>
      </c>
      <c r="D53" s="10">
        <f>C59</f>
        <v>30919.539000000001</v>
      </c>
      <c r="E53" s="10">
        <f t="shared" ref="E53:F53" si="35">D59</f>
        <v>32736.713</v>
      </c>
      <c r="F53" s="10">
        <f t="shared" si="35"/>
        <v>31658.056</v>
      </c>
      <c r="G53" s="10">
        <f>F59</f>
        <v>32452.462</v>
      </c>
      <c r="H53" s="10">
        <f t="shared" ref="H53:K53" si="36">G59</f>
        <v>34923.151194097394</v>
      </c>
      <c r="I53" s="10">
        <f t="shared" si="36"/>
        <v>38715.954162682545</v>
      </c>
      <c r="J53" s="10">
        <f t="shared" si="36"/>
        <v>42869.673293021879</v>
      </c>
      <c r="K53" s="10">
        <f t="shared" si="36"/>
        <v>46250.111238336423</v>
      </c>
    </row>
    <row r="54" spans="2:11" x14ac:dyDescent="0.3">
      <c r="B54" s="29" t="s">
        <v>72</v>
      </c>
      <c r="C54" s="10">
        <v>17702.202000000001</v>
      </c>
      <c r="D54" s="10">
        <v>16839.038</v>
      </c>
      <c r="E54" s="10">
        <v>12554.703</v>
      </c>
      <c r="F54" s="10">
        <v>16223.617</v>
      </c>
      <c r="G54" s="10">
        <v>17500</v>
      </c>
      <c r="H54" s="10">
        <f>'P&amp;L'!H5*Assumptions!H55</f>
        <v>19803.092241519949</v>
      </c>
      <c r="I54" s="10">
        <f>'P&amp;L'!I5*Assumptions!I55</f>
        <v>21949.351379118489</v>
      </c>
      <c r="J54" s="10">
        <f>'P&amp;L'!J5*Assumptions!J55</f>
        <v>23363.539892055087</v>
      </c>
      <c r="K54" s="10">
        <f>'P&amp;L'!K5*Assumptions!K55</f>
        <v>25337.174244559326</v>
      </c>
    </row>
    <row r="55" spans="2:11" x14ac:dyDescent="0.3">
      <c r="B55" s="1" t="s">
        <v>73</v>
      </c>
      <c r="C55" s="27">
        <f>C54/'P&amp;L'!C5</f>
        <v>0.59607700814914377</v>
      </c>
      <c r="D55" s="27">
        <f>D54/'P&amp;L'!D5</f>
        <v>0.53261885369699402</v>
      </c>
      <c r="E55" s="27">
        <f>E54/'P&amp;L'!E5</f>
        <v>0.372285752487368</v>
      </c>
      <c r="F55" s="27">
        <f>F54/'P&amp;L'!F5</f>
        <v>0.41597987598563585</v>
      </c>
      <c r="G55" s="27">
        <f>G54/'P&amp;L'!G5</f>
        <v>0.38810065364837903</v>
      </c>
      <c r="H55" s="27">
        <f>AVERAGE(E55:G55)</f>
        <v>0.392122094040461</v>
      </c>
      <c r="I55" s="27">
        <f t="shared" ref="I55:K55" si="37">AVERAGE(F55:H55)</f>
        <v>0.39873420789149194</v>
      </c>
      <c r="J55" s="27">
        <f t="shared" si="37"/>
        <v>0.3929856518601107</v>
      </c>
      <c r="K55" s="27">
        <f t="shared" si="37"/>
        <v>0.39461398459735458</v>
      </c>
    </row>
    <row r="56" spans="2:11" x14ac:dyDescent="0.3">
      <c r="B56" s="29" t="s">
        <v>74</v>
      </c>
      <c r="C56" s="10">
        <f>C49</f>
        <v>12230.367</v>
      </c>
      <c r="D56" s="10">
        <f t="shared" ref="D56:F56" si="38">D49</f>
        <v>14026.132</v>
      </c>
      <c r="E56" s="10">
        <f t="shared" si="38"/>
        <v>14197.437</v>
      </c>
      <c r="F56" s="10">
        <f t="shared" si="38"/>
        <v>15301.517</v>
      </c>
      <c r="G56" s="10">
        <f>G53*G57</f>
        <v>15029.310805902604</v>
      </c>
      <c r="H56" s="10">
        <f t="shared" ref="H56:K56" si="39">H53*H57</f>
        <v>16010.289272934804</v>
      </c>
      <c r="I56" s="10">
        <f t="shared" si="39"/>
        <v>17795.632248779155</v>
      </c>
      <c r="J56" s="10">
        <f t="shared" si="39"/>
        <v>19983.101946740546</v>
      </c>
      <c r="K56" s="10">
        <f t="shared" si="39"/>
        <v>21359.957468204735</v>
      </c>
    </row>
    <row r="57" spans="2:11" x14ac:dyDescent="0.3">
      <c r="B57" s="29" t="s">
        <v>76</v>
      </c>
      <c r="C57" s="27">
        <f>C56/C53</f>
        <v>0.48181496575592059</v>
      </c>
      <c r="D57" s="27">
        <f t="shared" ref="D57:F57" si="40">D56/D53</f>
        <v>0.45363328347165849</v>
      </c>
      <c r="E57" s="27">
        <f t="shared" si="40"/>
        <v>0.43368547721941419</v>
      </c>
      <c r="F57" s="27">
        <f t="shared" si="40"/>
        <v>0.48333722702366816</v>
      </c>
      <c r="G57" s="27">
        <f>AVERAGE(C57:F57)</f>
        <v>0.4631177383676654</v>
      </c>
      <c r="H57" s="27">
        <f t="shared" ref="H57:K57" si="41">AVERAGE(D57:G57)</f>
        <v>0.45844343152060157</v>
      </c>
      <c r="I57" s="27">
        <f t="shared" si="41"/>
        <v>0.45964596853283735</v>
      </c>
      <c r="J57" s="27">
        <f t="shared" si="41"/>
        <v>0.46613609136119311</v>
      </c>
      <c r="K57" s="27">
        <f t="shared" si="41"/>
        <v>0.46183580744557434</v>
      </c>
    </row>
    <row r="58" spans="2:11" x14ac:dyDescent="0.3">
      <c r="B58" s="29" t="s">
        <v>77</v>
      </c>
      <c r="C58" s="10">
        <v>63.753999999997177</v>
      </c>
      <c r="D58" s="10">
        <v>-995.73200000000702</v>
      </c>
      <c r="E58" s="10">
        <v>564.07700000000114</v>
      </c>
      <c r="F58" s="10">
        <v>-127.69400000000314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</row>
    <row r="59" spans="2:11" x14ac:dyDescent="0.3">
      <c r="B59" s="1" t="s">
        <v>75</v>
      </c>
      <c r="C59" s="10">
        <f>BS!C11</f>
        <v>30919.539000000001</v>
      </c>
      <c r="D59" s="10">
        <f>BS!D11</f>
        <v>32736.713</v>
      </c>
      <c r="E59" s="10">
        <f>BS!E11</f>
        <v>31658.056</v>
      </c>
      <c r="F59" s="10">
        <f>BS!F11</f>
        <v>32452.462</v>
      </c>
      <c r="G59" s="10">
        <f>G53+G54-G56</f>
        <v>34923.151194097394</v>
      </c>
      <c r="H59" s="10">
        <f t="shared" ref="H59:K59" si="42">H53+H54-H56</f>
        <v>38715.954162682545</v>
      </c>
      <c r="I59" s="10">
        <f t="shared" si="42"/>
        <v>42869.673293021879</v>
      </c>
      <c r="J59" s="10">
        <f t="shared" si="42"/>
        <v>46250.111238336423</v>
      </c>
      <c r="K59" s="10">
        <f t="shared" si="42"/>
        <v>50227.328014691011</v>
      </c>
    </row>
    <row r="61" spans="2:11" ht="15" thickBot="1" x14ac:dyDescent="0.35">
      <c r="B61" s="23" t="s">
        <v>103</v>
      </c>
    </row>
    <row r="62" spans="2:11" x14ac:dyDescent="0.3">
      <c r="B62" s="1" t="s">
        <v>94</v>
      </c>
      <c r="C62" s="10">
        <v>960.18299999999999</v>
      </c>
      <c r="D62" s="10">
        <f>C68</f>
        <v>1323.453</v>
      </c>
      <c r="E62" s="10">
        <f t="shared" ref="E62:F62" si="43">D68</f>
        <v>1398.2570000000001</v>
      </c>
      <c r="F62" s="10">
        <f t="shared" si="43"/>
        <v>1491.444</v>
      </c>
      <c r="G62" s="10">
        <f>F68</f>
        <v>1593.7560000000001</v>
      </c>
      <c r="H62" s="10">
        <f t="shared" ref="H62:K62" si="44">G68</f>
        <v>1793.8909480927639</v>
      </c>
      <c r="I62" s="10">
        <f t="shared" si="44"/>
        <v>1964.0907370851421</v>
      </c>
      <c r="J62" s="10">
        <f t="shared" si="44"/>
        <v>2143.7779549336919</v>
      </c>
      <c r="K62" s="10">
        <f t="shared" si="44"/>
        <v>2341.8124831092659</v>
      </c>
    </row>
    <row r="63" spans="2:11" x14ac:dyDescent="0.3">
      <c r="B63" s="29" t="s">
        <v>72</v>
      </c>
      <c r="C63" s="10">
        <v>524.58500000000004</v>
      </c>
      <c r="D63" s="10">
        <v>407.72899999999998</v>
      </c>
      <c r="E63" s="10">
        <v>348.55200000000002</v>
      </c>
      <c r="F63" s="10">
        <v>439.53800000000001</v>
      </c>
      <c r="G63" s="10">
        <f>'P&amp;L'!G5*Assumptions!G64</f>
        <v>588.06075504567536</v>
      </c>
      <c r="H63" s="10">
        <f>'P&amp;L'!H5*Assumptions!H64</f>
        <v>600.26565226107289</v>
      </c>
      <c r="I63" s="10">
        <f>'P&amp;L'!I5*Assumptions!I64</f>
        <v>640.38209654521711</v>
      </c>
      <c r="J63" s="10">
        <f>'P&amp;L'!J5*Assumptions!J64</f>
        <v>710.8987484547647</v>
      </c>
      <c r="K63" s="10">
        <f>'P&amp;L'!K5*Assumptions!K64</f>
        <v>778.80988995458642</v>
      </c>
    </row>
    <row r="64" spans="2:11" x14ac:dyDescent="0.3">
      <c r="B64" s="1" t="s">
        <v>73</v>
      </c>
      <c r="C64" s="27">
        <f>C63/'P&amp;L'!C5</f>
        <v>1.7664076893932099E-2</v>
      </c>
      <c r="D64" s="27">
        <f>D63/'P&amp;L'!D5</f>
        <v>1.2896470249608183E-2</v>
      </c>
      <c r="E64" s="27">
        <f>E63/'P&amp;L'!E5</f>
        <v>1.0335644228380162E-2</v>
      </c>
      <c r="F64" s="27">
        <f>F63/'P&amp;L'!F5</f>
        <v>1.1269925980807758E-2</v>
      </c>
      <c r="G64" s="27">
        <f>AVERAGE(C64:F64)</f>
        <v>1.3041529338182051E-2</v>
      </c>
      <c r="H64" s="27">
        <f t="shared" ref="H64:K64" si="45">AVERAGE(D64:G64)</f>
        <v>1.1885892449244539E-2</v>
      </c>
      <c r="I64" s="27">
        <f t="shared" si="45"/>
        <v>1.1633247999153627E-2</v>
      </c>
      <c r="J64" s="27">
        <f t="shared" si="45"/>
        <v>1.1957648941846994E-2</v>
      </c>
      <c r="K64" s="27">
        <f t="shared" si="45"/>
        <v>1.2129579682106803E-2</v>
      </c>
    </row>
    <row r="65" spans="2:11" x14ac:dyDescent="0.3">
      <c r="B65" s="29" t="s">
        <v>74</v>
      </c>
      <c r="C65" s="10">
        <v>-208.41200000000001</v>
      </c>
      <c r="D65" s="10">
        <v>-336.68200000000002</v>
      </c>
      <c r="E65" s="10">
        <v>-356.947</v>
      </c>
      <c r="F65" s="10">
        <v>-328.91399999999999</v>
      </c>
      <c r="G65" s="10">
        <f>-G62*G66</f>
        <v>-387.92580695291173</v>
      </c>
      <c r="H65" s="10">
        <f t="shared" ref="H65:K65" si="46">-H62*H66</f>
        <v>-430.06586326869478</v>
      </c>
      <c r="I65" s="10">
        <f t="shared" si="46"/>
        <v>-460.69487869666722</v>
      </c>
      <c r="J65" s="10">
        <f t="shared" si="46"/>
        <v>-512.8642202791907</v>
      </c>
      <c r="K65" s="10">
        <f t="shared" si="46"/>
        <v>-556.98591247354921</v>
      </c>
    </row>
    <row r="66" spans="2:11" x14ac:dyDescent="0.3">
      <c r="B66" s="29" t="s">
        <v>76</v>
      </c>
      <c r="C66" s="27">
        <f>-C65/C62</f>
        <v>0.2170544573274053</v>
      </c>
      <c r="D66" s="27">
        <f t="shared" ref="D66:F66" si="47">-D65/D62</f>
        <v>0.25439664272172868</v>
      </c>
      <c r="E66" s="27">
        <f t="shared" si="47"/>
        <v>0.25527996641532991</v>
      </c>
      <c r="F66" s="27">
        <f t="shared" si="47"/>
        <v>0.22053392551111539</v>
      </c>
      <c r="G66" s="27">
        <f>AVERAGE(D66:F66)</f>
        <v>0.24340351154939133</v>
      </c>
      <c r="H66" s="27">
        <f t="shared" ref="H66:K66" si="48">AVERAGE(E66:G66)</f>
        <v>0.23973913449194553</v>
      </c>
      <c r="I66" s="27">
        <f t="shared" si="48"/>
        <v>0.23455885718415073</v>
      </c>
      <c r="J66" s="27">
        <f t="shared" si="48"/>
        <v>0.23923383440849585</v>
      </c>
      <c r="K66" s="27">
        <f t="shared" si="48"/>
        <v>0.23784394202819736</v>
      </c>
    </row>
    <row r="67" spans="2:11" x14ac:dyDescent="0.3">
      <c r="B67" s="29" t="s">
        <v>77</v>
      </c>
      <c r="C67" s="10">
        <v>47.097000000000001</v>
      </c>
      <c r="D67" s="10">
        <v>3.7570000000000618</v>
      </c>
      <c r="E67" s="10">
        <v>101.58199999999988</v>
      </c>
      <c r="F67" s="10">
        <v>-8.3119999999998981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</row>
    <row r="68" spans="2:11" x14ac:dyDescent="0.3">
      <c r="B68" s="1" t="s">
        <v>75</v>
      </c>
      <c r="C68" s="10">
        <f>BS!C12</f>
        <v>1323.453</v>
      </c>
      <c r="D68" s="10">
        <f>BS!D12</f>
        <v>1398.2570000000001</v>
      </c>
      <c r="E68" s="10">
        <f>BS!E12</f>
        <v>1491.444</v>
      </c>
      <c r="F68" s="10">
        <f>BS!F12</f>
        <v>1593.7560000000001</v>
      </c>
      <c r="G68" s="10">
        <f>G62+G63+G65+G67</f>
        <v>1793.8909480927639</v>
      </c>
      <c r="H68" s="10">
        <f t="shared" ref="H68:K68" si="49">H62+H63+H65+H67</f>
        <v>1964.0907370851421</v>
      </c>
      <c r="I68" s="10">
        <f t="shared" si="49"/>
        <v>2143.7779549336919</v>
      </c>
      <c r="J68" s="10">
        <f t="shared" si="49"/>
        <v>2341.8124831092659</v>
      </c>
      <c r="K68" s="10">
        <f t="shared" si="49"/>
        <v>2563.6364605903027</v>
      </c>
    </row>
    <row r="70" spans="2:11" ht="15" thickBot="1" x14ac:dyDescent="0.35">
      <c r="B70" s="23" t="s">
        <v>81</v>
      </c>
    </row>
    <row r="71" spans="2:11" x14ac:dyDescent="0.3">
      <c r="B71" s="1" t="s">
        <v>82</v>
      </c>
      <c r="C71" s="10">
        <f>BS!C19</f>
        <v>837.48299999999995</v>
      </c>
      <c r="D71" s="10">
        <f>BS!D19</f>
        <v>671.51300000000003</v>
      </c>
      <c r="E71" s="10">
        <f>BS!E19</f>
        <v>747.41200000000003</v>
      </c>
      <c r="F71" s="10">
        <f>BS!F19</f>
        <v>899.90899999999999</v>
      </c>
      <c r="G71" s="10">
        <f>G50/G72</f>
        <v>850.20530536068907</v>
      </c>
      <c r="H71" s="10">
        <f>H50/H72</f>
        <v>905.01130808195092</v>
      </c>
      <c r="I71" s="10">
        <f>I50/I72</f>
        <v>1013.2725957820018</v>
      </c>
      <c r="J71" s="10">
        <f>J50/J72</f>
        <v>1113.7704113343066</v>
      </c>
      <c r="K71" s="10">
        <f>K50/K72</f>
        <v>1198.9165861930398</v>
      </c>
    </row>
    <row r="72" spans="2:11" x14ac:dyDescent="0.3">
      <c r="B72" s="1" t="s">
        <v>83</v>
      </c>
      <c r="C72" s="32"/>
      <c r="D72" s="32">
        <f>D50/AVERAGE(C71:D71)</f>
        <v>25.40534898700858</v>
      </c>
      <c r="E72" s="32">
        <f t="shared" ref="E72:F72" si="50">E50/AVERAGE(D71:E71)</f>
        <v>27.789161513117318</v>
      </c>
      <c r="F72" s="32">
        <f t="shared" si="50"/>
        <v>25.542640444697785</v>
      </c>
      <c r="G72" s="32">
        <f>365/G73</f>
        <v>26.201499785562646</v>
      </c>
      <c r="H72" s="32">
        <f t="shared" ref="H72:K72" si="51">365/H73</f>
        <v>26.478089200809936</v>
      </c>
      <c r="I72" s="32">
        <f t="shared" si="51"/>
        <v>26.068130754130216</v>
      </c>
      <c r="J72" s="32">
        <f t="shared" si="51"/>
        <v>26.248132232557023</v>
      </c>
      <c r="K72" s="32">
        <f t="shared" si="51"/>
        <v>26.263713289976046</v>
      </c>
    </row>
    <row r="73" spans="2:11" x14ac:dyDescent="0.3">
      <c r="B73" s="1" t="s">
        <v>84</v>
      </c>
      <c r="C73" s="32"/>
      <c r="D73" s="32">
        <f>365/D72</f>
        <v>14.367053181857427</v>
      </c>
      <c r="E73" s="32">
        <f t="shared" ref="E73:F73" si="52">365/E72</f>
        <v>13.134617243766389</v>
      </c>
      <c r="F73" s="32">
        <f t="shared" si="52"/>
        <v>14.289830403018016</v>
      </c>
      <c r="G73" s="32">
        <f>AVERAGE(D73:F73)</f>
        <v>13.930500276213943</v>
      </c>
      <c r="H73" s="32">
        <f t="shared" ref="H73:K73" si="53">AVERAGE(E73:G73)</f>
        <v>13.78498264099945</v>
      </c>
      <c r="I73" s="32">
        <f t="shared" si="53"/>
        <v>14.001771106743803</v>
      </c>
      <c r="J73" s="32">
        <f t="shared" si="53"/>
        <v>13.905751341319066</v>
      </c>
      <c r="K73" s="32">
        <f t="shared" si="53"/>
        <v>13.897501696354107</v>
      </c>
    </row>
    <row r="75" spans="2:11" ht="15" thickBot="1" x14ac:dyDescent="0.35">
      <c r="B75" s="23" t="s">
        <v>4</v>
      </c>
    </row>
    <row r="76" spans="2:11" x14ac:dyDescent="0.3">
      <c r="B76" s="1" t="s">
        <v>86</v>
      </c>
      <c r="C76" s="10">
        <v>804.32</v>
      </c>
      <c r="D76" s="10">
        <v>988.89800000000002</v>
      </c>
      <c r="E76" s="10">
        <v>1287.0540000000001</v>
      </c>
      <c r="F76" s="10">
        <v>1335.3040000000001</v>
      </c>
      <c r="G76" s="10">
        <f>'P&amp;L'!G5/Assumptions!G77</f>
        <v>1438.7671444650648</v>
      </c>
      <c r="H76" s="10">
        <f>'P&amp;L'!H5/Assumptions!H77</f>
        <v>1671.147525034891</v>
      </c>
      <c r="I76" s="10">
        <f>'P&amp;L'!I5/Assumptions!I77</f>
        <v>1809.5499889889995</v>
      </c>
      <c r="J76" s="10">
        <f>'P&amp;L'!J5/Assumptions!J77</f>
        <v>1939.5171796463937</v>
      </c>
      <c r="K76" s="10">
        <f>'P&amp;L'!K5/Assumptions!K77</f>
        <v>2109.9981723212118</v>
      </c>
    </row>
    <row r="77" spans="2:11" x14ac:dyDescent="0.3">
      <c r="B77" s="33" t="s">
        <v>89</v>
      </c>
      <c r="C77" s="34"/>
      <c r="D77" s="34">
        <f>'P&amp;L'!D5/AVERAGE(C76:D76)</f>
        <v>35.261245425821066</v>
      </c>
      <c r="E77" s="34">
        <f>'P&amp;L'!E5/AVERAGE(D76:E76)</f>
        <v>29.634453626438514</v>
      </c>
      <c r="F77" s="34">
        <f>'P&amp;L'!F5/AVERAGE(E76:F76)</f>
        <v>29.74495930761551</v>
      </c>
      <c r="G77" s="34">
        <f>365/G78</f>
        <v>31.340300965049227</v>
      </c>
      <c r="H77" s="34">
        <f t="shared" ref="H77:K77" si="54">365/H78</f>
        <v>30.220170277453111</v>
      </c>
      <c r="I77" s="34">
        <f t="shared" si="54"/>
        <v>30.420588405480228</v>
      </c>
      <c r="J77" s="34">
        <f t="shared" si="54"/>
        <v>30.652670711660654</v>
      </c>
      <c r="K77" s="34">
        <f t="shared" si="54"/>
        <v>30.430117336291207</v>
      </c>
    </row>
    <row r="78" spans="2:11" x14ac:dyDescent="0.3">
      <c r="B78" s="33" t="s">
        <v>90</v>
      </c>
      <c r="C78" s="34"/>
      <c r="D78" s="34">
        <f>365/D77</f>
        <v>10.351307663475726</v>
      </c>
      <c r="E78" s="34">
        <f t="shared" ref="E78:F78" si="55">365/E77</f>
        <v>12.316744712119934</v>
      </c>
      <c r="F78" s="34">
        <f t="shared" si="55"/>
        <v>12.27098669812435</v>
      </c>
      <c r="G78" s="34">
        <f>AVERAGE(D78:F78)</f>
        <v>11.646346357906671</v>
      </c>
      <c r="H78" s="34">
        <f t="shared" ref="H78:K78" si="56">AVERAGE(E78:G78)</f>
        <v>12.078025922716984</v>
      </c>
      <c r="I78" s="34">
        <f t="shared" si="56"/>
        <v>11.998452992916</v>
      </c>
      <c r="J78" s="34">
        <f t="shared" si="56"/>
        <v>11.907608424513219</v>
      </c>
      <c r="K78" s="34">
        <f t="shared" si="56"/>
        <v>11.994695780048735</v>
      </c>
    </row>
    <row r="80" spans="2:11" x14ac:dyDescent="0.3">
      <c r="B80" s="1" t="s">
        <v>87</v>
      </c>
      <c r="C80" s="10">
        <v>323.81799999999998</v>
      </c>
      <c r="D80" s="10">
        <v>392.73500000000001</v>
      </c>
      <c r="E80" s="10">
        <v>408.93599999999998</v>
      </c>
      <c r="F80" s="10">
        <v>431.92399999999998</v>
      </c>
      <c r="G80" s="10">
        <v>431.92399999999998</v>
      </c>
      <c r="H80" s="10">
        <v>431.92399999999998</v>
      </c>
      <c r="I80" s="10">
        <v>431.92399999999998</v>
      </c>
      <c r="J80" s="10">
        <v>431.92399999999998</v>
      </c>
      <c r="K80" s="10">
        <v>431.92399999999998</v>
      </c>
    </row>
    <row r="81" spans="2:11" x14ac:dyDescent="0.3">
      <c r="B81" s="1" t="s">
        <v>88</v>
      </c>
      <c r="C81" s="10">
        <v>913.88300000000004</v>
      </c>
      <c r="D81" s="10">
        <v>1826.3879999999999</v>
      </c>
      <c r="E81" s="10">
        <v>2780.2469999999998</v>
      </c>
      <c r="F81" s="10">
        <v>1749.412</v>
      </c>
      <c r="G81" s="10">
        <v>1749.412</v>
      </c>
      <c r="H81" s="10">
        <v>1749.412</v>
      </c>
      <c r="I81" s="10">
        <v>1749.412</v>
      </c>
      <c r="J81" s="10">
        <v>1749.412</v>
      </c>
      <c r="K81" s="10">
        <v>1749.412</v>
      </c>
    </row>
    <row r="82" spans="2:11" x14ac:dyDescent="0.3">
      <c r="C82" s="10">
        <f>C76+C80+C81</f>
        <v>2042.021</v>
      </c>
      <c r="D82" s="10">
        <f>D76+D80+D81</f>
        <v>3208.0209999999997</v>
      </c>
      <c r="E82" s="10">
        <f>E76+E80+E81</f>
        <v>4476.2370000000001</v>
      </c>
      <c r="F82" s="10">
        <f>F76+F80+F81</f>
        <v>3516.6400000000003</v>
      </c>
      <c r="G82" s="10">
        <f t="shared" ref="G82:K82" si="57">G76+G80+G81</f>
        <v>3620.1031444650648</v>
      </c>
      <c r="H82" s="10">
        <f t="shared" si="57"/>
        <v>3852.4835250348915</v>
      </c>
      <c r="I82" s="10">
        <f t="shared" si="57"/>
        <v>3990.885988989</v>
      </c>
      <c r="J82" s="10">
        <f t="shared" si="57"/>
        <v>4120.853179646394</v>
      </c>
      <c r="K82" s="10">
        <f t="shared" si="57"/>
        <v>4291.3341723212116</v>
      </c>
    </row>
    <row r="84" spans="2:11" ht="15" thickBot="1" x14ac:dyDescent="0.35">
      <c r="B84" s="23" t="s">
        <v>91</v>
      </c>
    </row>
    <row r="85" spans="2:11" x14ac:dyDescent="0.3">
      <c r="B85" s="1" t="s">
        <v>92</v>
      </c>
      <c r="C85" s="10">
        <f>BS!C22</f>
        <v>699.82299999999998</v>
      </c>
      <c r="D85" s="10">
        <f>BS!D22</f>
        <v>0</v>
      </c>
      <c r="E85" s="10">
        <f>BS!E22</f>
        <v>399.84399999999999</v>
      </c>
      <c r="F85" s="10">
        <f>BS!F22</f>
        <v>1784.453</v>
      </c>
      <c r="G85" s="10">
        <f>G87*5%</f>
        <v>769.14020000000005</v>
      </c>
      <c r="H85" s="10">
        <f t="shared" ref="H85:K85" si="58">H87*5%</f>
        <v>749.14020000000005</v>
      </c>
      <c r="I85" s="10">
        <f t="shared" si="58"/>
        <v>729.14020000000005</v>
      </c>
      <c r="J85" s="10">
        <f t="shared" si="58"/>
        <v>709.14020000000005</v>
      </c>
      <c r="K85" s="10">
        <f t="shared" si="58"/>
        <v>689.14020000000005</v>
      </c>
    </row>
    <row r="86" spans="2:11" x14ac:dyDescent="0.3">
      <c r="B86" s="1" t="s">
        <v>93</v>
      </c>
      <c r="C86" s="10">
        <f>BS!C25</f>
        <v>14693.072</v>
      </c>
      <c r="D86" s="10">
        <f>BS!D25</f>
        <v>14353.075999999999</v>
      </c>
      <c r="E86" s="10">
        <f>BS!E25</f>
        <v>14143.416999999999</v>
      </c>
      <c r="F86" s="10">
        <f>BS!F25</f>
        <v>13798.351000000001</v>
      </c>
      <c r="G86" s="10">
        <f>G87*95%</f>
        <v>14613.6638</v>
      </c>
      <c r="H86" s="10">
        <f t="shared" ref="H86:K86" si="59">H87*95%</f>
        <v>14233.6638</v>
      </c>
      <c r="I86" s="10">
        <f t="shared" si="59"/>
        <v>13853.6638</v>
      </c>
      <c r="J86" s="10">
        <f t="shared" si="59"/>
        <v>13473.6638</v>
      </c>
      <c r="K86" s="10">
        <f t="shared" si="59"/>
        <v>13093.6638</v>
      </c>
    </row>
    <row r="87" spans="2:11" x14ac:dyDescent="0.3">
      <c r="C87" s="10">
        <f>C85+C86</f>
        <v>15392.895</v>
      </c>
      <c r="D87" s="10">
        <f t="shared" ref="D87:F87" si="60">D85+D86</f>
        <v>14353.075999999999</v>
      </c>
      <c r="E87" s="10">
        <f t="shared" si="60"/>
        <v>14543.260999999999</v>
      </c>
      <c r="F87" s="10">
        <f t="shared" si="60"/>
        <v>15582.804</v>
      </c>
      <c r="G87" s="10">
        <f>G95</f>
        <v>15382.804</v>
      </c>
      <c r="H87" s="10">
        <f t="shared" ref="H87:K87" si="61">H95</f>
        <v>14982.804</v>
      </c>
      <c r="I87" s="10">
        <f t="shared" si="61"/>
        <v>14582.804</v>
      </c>
      <c r="J87" s="10">
        <f t="shared" si="61"/>
        <v>14182.804</v>
      </c>
      <c r="K87" s="10">
        <f t="shared" si="61"/>
        <v>13782.804</v>
      </c>
    </row>
    <row r="88" spans="2:11" x14ac:dyDescent="0.3">
      <c r="G88" s="10"/>
      <c r="H88" s="10"/>
      <c r="I88" s="10"/>
      <c r="J88" s="10"/>
      <c r="K88" s="10"/>
    </row>
    <row r="89" spans="2:11" x14ac:dyDescent="0.3">
      <c r="B89" s="1" t="s">
        <v>94</v>
      </c>
      <c r="C89" s="10">
        <v>16308.973</v>
      </c>
      <c r="D89" s="10">
        <f>C93</f>
        <v>15392.895</v>
      </c>
      <c r="E89" s="10">
        <f t="shared" ref="E89" si="62">D93</f>
        <v>14353.075999999999</v>
      </c>
      <c r="F89" s="10">
        <f>E93</f>
        <v>14543.260999999999</v>
      </c>
      <c r="G89" s="10">
        <f>F93</f>
        <v>15582.804</v>
      </c>
      <c r="H89" s="10">
        <f t="shared" ref="H89:K89" si="63">G93</f>
        <v>15182.804</v>
      </c>
      <c r="I89" s="10">
        <f t="shared" si="63"/>
        <v>14782.804</v>
      </c>
      <c r="J89" s="10">
        <f t="shared" si="63"/>
        <v>14382.804</v>
      </c>
      <c r="K89" s="10">
        <f t="shared" si="63"/>
        <v>13982.804</v>
      </c>
    </row>
    <row r="90" spans="2:11" x14ac:dyDescent="0.3">
      <c r="B90" s="29" t="s">
        <v>95</v>
      </c>
      <c r="C90" s="10">
        <v>0</v>
      </c>
      <c r="D90" s="10">
        <v>0</v>
      </c>
      <c r="E90" s="10">
        <v>0</v>
      </c>
      <c r="F90" s="10">
        <v>1794.46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</row>
    <row r="91" spans="2:11" x14ac:dyDescent="0.3">
      <c r="B91" s="29" t="s">
        <v>96</v>
      </c>
      <c r="C91" s="10">
        <v>-500</v>
      </c>
      <c r="D91" s="10">
        <v>-700</v>
      </c>
      <c r="E91" s="10">
        <v>0</v>
      </c>
      <c r="F91" s="10">
        <v>-400</v>
      </c>
      <c r="G91" s="10">
        <f>F91</f>
        <v>-400</v>
      </c>
      <c r="H91" s="10">
        <f t="shared" ref="H91:K91" si="64">G91</f>
        <v>-400</v>
      </c>
      <c r="I91" s="10">
        <f t="shared" si="64"/>
        <v>-400</v>
      </c>
      <c r="J91" s="10">
        <f t="shared" si="64"/>
        <v>-400</v>
      </c>
      <c r="K91" s="10">
        <f t="shared" si="64"/>
        <v>-400</v>
      </c>
    </row>
    <row r="92" spans="2:11" x14ac:dyDescent="0.3">
      <c r="B92" s="29" t="s">
        <v>77</v>
      </c>
      <c r="C92" s="10">
        <v>-416.07799999999952</v>
      </c>
      <c r="D92" s="10">
        <v>-339.81900000000132</v>
      </c>
      <c r="E92" s="10">
        <v>190.18499999999949</v>
      </c>
      <c r="F92" s="10">
        <v>-354.91699999999764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</row>
    <row r="93" spans="2:11" x14ac:dyDescent="0.3">
      <c r="B93" s="1" t="s">
        <v>97</v>
      </c>
      <c r="C93" s="10">
        <f>C89+C90+C91+C92</f>
        <v>15392.895</v>
      </c>
      <c r="D93" s="10">
        <f t="shared" ref="D93:F93" si="65">D89+D90+D91+D92</f>
        <v>14353.075999999999</v>
      </c>
      <c r="E93" s="10">
        <f t="shared" si="65"/>
        <v>14543.260999999999</v>
      </c>
      <c r="F93" s="10">
        <f t="shared" si="65"/>
        <v>15582.804</v>
      </c>
      <c r="G93" s="10">
        <f>G89+G90+G91+G92</f>
        <v>15182.804</v>
      </c>
      <c r="H93" s="10">
        <f t="shared" ref="H93:K93" si="66">H89+H90+H91+H92</f>
        <v>14782.804</v>
      </c>
      <c r="I93" s="10">
        <f t="shared" si="66"/>
        <v>14382.804</v>
      </c>
      <c r="J93" s="10">
        <f t="shared" si="66"/>
        <v>13982.804</v>
      </c>
      <c r="K93" s="10">
        <f t="shared" si="66"/>
        <v>13582.804</v>
      </c>
    </row>
    <row r="94" spans="2:11" x14ac:dyDescent="0.3">
      <c r="G94" s="10"/>
      <c r="H94" s="10"/>
      <c r="I94" s="10"/>
      <c r="J94" s="10"/>
      <c r="K94" s="10"/>
    </row>
    <row r="95" spans="2:11" x14ac:dyDescent="0.3">
      <c r="B95" s="1" t="s">
        <v>98</v>
      </c>
      <c r="C95" s="10">
        <f>AVERAGE(C89,C93)</f>
        <v>15850.934000000001</v>
      </c>
      <c r="D95" s="10">
        <f t="shared" ref="D95:K95" si="67">AVERAGE(D89,D93)</f>
        <v>14872.985499999999</v>
      </c>
      <c r="E95" s="10">
        <f t="shared" si="67"/>
        <v>14448.1685</v>
      </c>
      <c r="F95" s="10">
        <f t="shared" si="67"/>
        <v>15063.032499999999</v>
      </c>
      <c r="G95" s="10">
        <f>AVERAGE(G89,G93)</f>
        <v>15382.804</v>
      </c>
      <c r="H95" s="10">
        <f t="shared" si="67"/>
        <v>14982.804</v>
      </c>
      <c r="I95" s="10">
        <f t="shared" si="67"/>
        <v>14582.804</v>
      </c>
      <c r="J95" s="10">
        <f t="shared" si="67"/>
        <v>14182.804</v>
      </c>
      <c r="K95" s="10">
        <f t="shared" si="67"/>
        <v>13782.804</v>
      </c>
    </row>
    <row r="96" spans="2:11" x14ac:dyDescent="0.3">
      <c r="B96" s="1" t="s">
        <v>99</v>
      </c>
      <c r="C96" s="10">
        <f>'P&amp;L'!C12</f>
        <v>-765.62</v>
      </c>
      <c r="D96" s="10">
        <f>'P&amp;L'!D12</f>
        <v>-706.21199999999999</v>
      </c>
      <c r="E96" s="10">
        <f>'P&amp;L'!E12</f>
        <v>-699.82600000000002</v>
      </c>
      <c r="F96" s="10">
        <f>'P&amp;L'!F12</f>
        <v>-718.73299999999995</v>
      </c>
      <c r="G96" s="10">
        <f>-G95*G97</f>
        <v>-738.12905684775967</v>
      </c>
      <c r="H96" s="10">
        <f t="shared" ref="H96:K96" si="68">-H95*H97</f>
        <v>-717.74724394746465</v>
      </c>
      <c r="I96" s="10">
        <f t="shared" si="68"/>
        <v>-700.12335023878825</v>
      </c>
      <c r="J96" s="10">
        <f t="shared" si="68"/>
        <v>-679.40595268886659</v>
      </c>
      <c r="K96" s="10">
        <f t="shared" si="68"/>
        <v>-660.89397512522498</v>
      </c>
    </row>
    <row r="97" spans="2:11" x14ac:dyDescent="0.3">
      <c r="B97" s="2" t="s">
        <v>100</v>
      </c>
      <c r="C97" s="27">
        <f>-C96/C95</f>
        <v>4.8301254676853742E-2</v>
      </c>
      <c r="D97" s="27">
        <f t="shared" ref="D97:F97" si="69">-D96/D95</f>
        <v>4.7482867511704364E-2</v>
      </c>
      <c r="E97" s="27">
        <f t="shared" si="69"/>
        <v>4.8437004316498666E-2</v>
      </c>
      <c r="F97" s="27">
        <f t="shared" si="69"/>
        <v>4.7715026838055348E-2</v>
      </c>
      <c r="G97" s="27">
        <f>AVERAGE(C97:F97)</f>
        <v>4.798403833577803E-2</v>
      </c>
      <c r="H97" s="27">
        <f t="shared" ref="H97:K97" si="70">AVERAGE(D97:G97)</f>
        <v>4.7904734250509097E-2</v>
      </c>
      <c r="I97" s="27">
        <f t="shared" si="70"/>
        <v>4.801020093521028E-2</v>
      </c>
      <c r="J97" s="27">
        <f t="shared" si="70"/>
        <v>4.7903500089888189E-2</v>
      </c>
      <c r="K97" s="27">
        <f t="shared" si="70"/>
        <v>4.7950618402846402E-2</v>
      </c>
    </row>
    <row r="99" spans="2:11" ht="15" thickBot="1" x14ac:dyDescent="0.35">
      <c r="B99" s="23" t="s">
        <v>14</v>
      </c>
      <c r="C99" s="35"/>
      <c r="D99" s="35"/>
      <c r="E99" s="35"/>
      <c r="F99" s="35"/>
    </row>
    <row r="100" spans="2:11" x14ac:dyDescent="0.3">
      <c r="B100" s="1" t="s">
        <v>171</v>
      </c>
      <c r="C100" s="10">
        <f>'P&amp;L'!C7+'P&amp;L'!C8+'P&amp;L'!C9</f>
        <v>6170.652000000001</v>
      </c>
      <c r="D100" s="10">
        <f>'P&amp;L'!D7+'P&amp;L'!D8+'P&amp;L'!D9</f>
        <v>6814.4339999999993</v>
      </c>
      <c r="E100" s="10">
        <f>'P&amp;L'!E7+'P&amp;L'!E8+'P&amp;L'!E9</f>
        <v>7053.9259999999995</v>
      </c>
      <c r="F100" s="10">
        <f>'P&amp;L'!F7+'P&amp;L'!F8+'P&amp;L'!F9</f>
        <v>7544.8879999999999</v>
      </c>
      <c r="G100" s="10">
        <f>'P&amp;L'!G7+'P&amp;L'!G8+'P&amp;L'!G9</f>
        <v>8222.8155499999993</v>
      </c>
      <c r="H100" s="10">
        <f>'P&amp;L'!H7+'P&amp;L'!H8+'P&amp;L'!H9</f>
        <v>8807.250083863928</v>
      </c>
      <c r="I100" s="10">
        <f>'P&amp;L'!I7+'P&amp;L'!I8+'P&amp;L'!I9</f>
        <v>9430.261259288427</v>
      </c>
      <c r="J100" s="10">
        <f>'P&amp;L'!J7+'P&amp;L'!J8+'P&amp;L'!J9</f>
        <v>10088.33334196079</v>
      </c>
      <c r="K100" s="10">
        <f>'P&amp;L'!K7+'P&amp;L'!K8+'P&amp;L'!K9</f>
        <v>10786.559586455798</v>
      </c>
    </row>
    <row r="101" spans="2:11" x14ac:dyDescent="0.3">
      <c r="B101" s="1" t="s">
        <v>172</v>
      </c>
      <c r="C101" s="10">
        <f>BS!C20</f>
        <v>1449.3510000000001</v>
      </c>
      <c r="D101" s="10">
        <f>BS!D20</f>
        <v>1514.65</v>
      </c>
      <c r="E101" s="10">
        <f>BS!E20</f>
        <v>1803.96</v>
      </c>
      <c r="F101" s="10">
        <f>BS!F20</f>
        <v>2156.5439999999999</v>
      </c>
      <c r="G101" s="10">
        <f>G100*G102</f>
        <v>2053.0641060092184</v>
      </c>
      <c r="H101" s="10">
        <f t="shared" ref="H101:K101" si="71">H100*H102</f>
        <v>2231.5738618636192</v>
      </c>
      <c r="I101" s="10">
        <f t="shared" si="71"/>
        <v>2462.7718748689922</v>
      </c>
      <c r="J101" s="10">
        <f t="shared" si="71"/>
        <v>2648.295761751102</v>
      </c>
      <c r="K101" s="10">
        <f t="shared" si="71"/>
        <v>2768.7080249874662</v>
      </c>
    </row>
    <row r="102" spans="2:11" x14ac:dyDescent="0.3">
      <c r="B102" s="2" t="s">
        <v>173</v>
      </c>
      <c r="C102" s="27">
        <f>C101/C100</f>
        <v>0.23487809716055935</v>
      </c>
      <c r="D102" s="27">
        <f t="shared" ref="D102:F102" si="72">D101/D100</f>
        <v>0.22227084450447393</v>
      </c>
      <c r="E102" s="27">
        <f t="shared" si="72"/>
        <v>0.2557384355889189</v>
      </c>
      <c r="F102" s="27">
        <f t="shared" si="72"/>
        <v>0.28582849738790023</v>
      </c>
      <c r="G102" s="27">
        <f>AVERAGE(C102:F102)</f>
        <v>0.24967896866046307</v>
      </c>
      <c r="H102" s="27">
        <f t="shared" ref="H102:K102" si="73">AVERAGE(D102:G102)</f>
        <v>0.253379186535439</v>
      </c>
      <c r="I102" s="27">
        <f t="shared" si="73"/>
        <v>0.26115627204318026</v>
      </c>
      <c r="J102" s="27">
        <f t="shared" si="73"/>
        <v>0.26251073115674561</v>
      </c>
      <c r="K102" s="27">
        <f t="shared" si="73"/>
        <v>0.25668128959895697</v>
      </c>
    </row>
    <row r="104" spans="2:11" ht="15" thickBot="1" x14ac:dyDescent="0.35">
      <c r="B104" s="23" t="s">
        <v>238</v>
      </c>
      <c r="C104" s="10">
        <f>BS!C21</f>
        <v>1209.3420000000001</v>
      </c>
      <c r="D104" s="10">
        <f>BS!D21</f>
        <v>1264.6610000000001</v>
      </c>
      <c r="E104" s="10">
        <f>BS!E21</f>
        <v>1442.9690000000001</v>
      </c>
      <c r="F104" s="10">
        <f>BS!F21</f>
        <v>1520.8130000000001</v>
      </c>
      <c r="G104" s="10">
        <f>'P&amp;L'!G5*Assumptions!G105</f>
        <v>1831.9000042574226</v>
      </c>
      <c r="H104" s="10">
        <f>'P&amp;L'!H5*Assumptions!H105</f>
        <v>2050.5264850951066</v>
      </c>
      <c r="I104" s="10">
        <f>'P&amp;L'!I5*Assumptions!I105</f>
        <v>2243.3496055383202</v>
      </c>
      <c r="J104" s="10">
        <f>'P&amp;L'!J5*Assumptions!J105</f>
        <v>2392.5632381475466</v>
      </c>
      <c r="K104" s="10">
        <f>'P&amp;L'!K5*Assumptions!K105</f>
        <v>2604.0297953509607</v>
      </c>
    </row>
    <row r="105" spans="2:11" x14ac:dyDescent="0.3">
      <c r="B105" s="2" t="s">
        <v>239</v>
      </c>
      <c r="C105" s="27">
        <f>C104/'P&amp;L'!C5</f>
        <v>4.072154194088972E-2</v>
      </c>
      <c r="D105" s="27">
        <f>D104/'P&amp;L'!D5</f>
        <v>4.0001233570189358E-2</v>
      </c>
      <c r="E105" s="27">
        <f>E104/'P&amp;L'!E5</f>
        <v>4.2788491291346757E-2</v>
      </c>
      <c r="F105" s="27">
        <f>F104/'P&amp;L'!F5</f>
        <v>3.899423927089396E-2</v>
      </c>
      <c r="G105" s="27">
        <f>AVERAGE(C105:F105)</f>
        <v>4.0626376518329947E-2</v>
      </c>
      <c r="H105" s="27">
        <f t="shared" ref="H105:K105" si="74">AVERAGE(D105:G105)</f>
        <v>4.0602585162690004E-2</v>
      </c>
      <c r="I105" s="27">
        <f t="shared" si="74"/>
        <v>4.0752923060815169E-2</v>
      </c>
      <c r="J105" s="27">
        <f t="shared" si="74"/>
        <v>4.0244031003182273E-2</v>
      </c>
      <c r="K105" s="27">
        <f t="shared" si="74"/>
        <v>4.0556478936254345E-2</v>
      </c>
    </row>
    <row r="107" spans="2:11" ht="15" thickBot="1" x14ac:dyDescent="0.35">
      <c r="B107" s="23" t="s">
        <v>240</v>
      </c>
    </row>
    <row r="108" spans="2:11" x14ac:dyDescent="0.3">
      <c r="B108" s="1" t="str">
        <f>BS!B9</f>
        <v>Other current assets</v>
      </c>
      <c r="C108" s="1">
        <f>BS!C9</f>
        <v>2042.021</v>
      </c>
      <c r="D108" s="1">
        <f>BS!D9</f>
        <v>3208.0210000000002</v>
      </c>
      <c r="E108" s="1">
        <f>BS!E9</f>
        <v>2780.2469999999998</v>
      </c>
      <c r="F108" s="1">
        <f>BS!F9</f>
        <v>3516.64</v>
      </c>
      <c r="G108" s="1">
        <f>BS!G9</f>
        <v>3620.1031444650648</v>
      </c>
      <c r="H108" s="1">
        <f>BS!H9</f>
        <v>3852.4835250348915</v>
      </c>
      <c r="I108" s="1">
        <f>BS!I9</f>
        <v>3990.885988989</v>
      </c>
      <c r="J108" s="1">
        <f>BS!J9</f>
        <v>4120.853179646394</v>
      </c>
      <c r="K108" s="1">
        <f>BS!K9</f>
        <v>4291.3341723212116</v>
      </c>
    </row>
    <row r="109" spans="2:11" x14ac:dyDescent="0.3">
      <c r="B109" s="1" t="str">
        <f>BS!B18</f>
        <v>Current content liabilities</v>
      </c>
      <c r="C109" s="1">
        <f>BS!C18</f>
        <v>4292.9669999999996</v>
      </c>
      <c r="D109" s="1">
        <f>BS!D18</f>
        <v>4480.1499999999996</v>
      </c>
      <c r="E109" s="1">
        <f>BS!E18</f>
        <v>4466.47</v>
      </c>
      <c r="F109" s="1">
        <f>BS!F18</f>
        <v>4393.6809999999996</v>
      </c>
      <c r="G109" s="1">
        <f>BS!G18</f>
        <v>4393.6809999999996</v>
      </c>
      <c r="H109" s="1">
        <f>BS!H18</f>
        <v>4393.6809999999996</v>
      </c>
      <c r="I109" s="1">
        <f>BS!I18</f>
        <v>4393.6809999999996</v>
      </c>
      <c r="J109" s="1">
        <f>BS!J18</f>
        <v>4393.6809999999996</v>
      </c>
      <c r="K109" s="1">
        <f>BS!K18</f>
        <v>4393.6809999999996</v>
      </c>
    </row>
    <row r="110" spans="2:11" x14ac:dyDescent="0.3">
      <c r="B110" s="1" t="str">
        <f>BS!B19</f>
        <v>Accounts payable</v>
      </c>
      <c r="C110" s="1">
        <f>BS!C19</f>
        <v>837.48299999999995</v>
      </c>
      <c r="D110" s="1">
        <f>BS!D19</f>
        <v>671.51300000000003</v>
      </c>
      <c r="E110" s="1">
        <f>BS!E19</f>
        <v>747.41200000000003</v>
      </c>
      <c r="F110" s="1">
        <f>BS!F19</f>
        <v>899.90899999999999</v>
      </c>
      <c r="G110" s="1">
        <f>BS!G19</f>
        <v>850.20530536068907</v>
      </c>
      <c r="H110" s="1">
        <f>BS!H19</f>
        <v>905.01130808195092</v>
      </c>
      <c r="I110" s="1">
        <f>BS!I19</f>
        <v>1013.2725957820018</v>
      </c>
      <c r="J110" s="1">
        <f>BS!J19</f>
        <v>1113.7704113343066</v>
      </c>
      <c r="K110" s="1">
        <f>BS!K19</f>
        <v>1198.9165861930398</v>
      </c>
    </row>
    <row r="111" spans="2:11" x14ac:dyDescent="0.3">
      <c r="B111" s="1" t="str">
        <f>BS!B20</f>
        <v>Accrued expenses and other liabilities</v>
      </c>
      <c r="C111" s="1">
        <f>BS!C20</f>
        <v>1449.3510000000001</v>
      </c>
      <c r="D111" s="1">
        <f>BS!D20</f>
        <v>1514.65</v>
      </c>
      <c r="E111" s="1">
        <f>BS!E20</f>
        <v>1803.96</v>
      </c>
      <c r="F111" s="1">
        <f>BS!F20</f>
        <v>2156.5439999999999</v>
      </c>
      <c r="G111" s="1">
        <f>BS!G20</f>
        <v>2053.0641060092184</v>
      </c>
      <c r="H111" s="1">
        <f>BS!H20</f>
        <v>2231.5738618636192</v>
      </c>
      <c r="I111" s="1">
        <f>BS!I20</f>
        <v>2462.7718748689922</v>
      </c>
      <c r="J111" s="1">
        <f>BS!J20</f>
        <v>2648.295761751102</v>
      </c>
      <c r="K111" s="1">
        <f>BS!K20</f>
        <v>2768.7080249874662</v>
      </c>
    </row>
    <row r="112" spans="2:11" x14ac:dyDescent="0.3">
      <c r="B112" s="1" t="str">
        <f>BS!B21</f>
        <v>Deferred revenue</v>
      </c>
      <c r="C112" s="1">
        <f>BS!C21</f>
        <v>1209.3420000000001</v>
      </c>
      <c r="D112" s="1">
        <f>BS!D21</f>
        <v>1264.6610000000001</v>
      </c>
      <c r="E112" s="1">
        <f>BS!E21</f>
        <v>1442.9690000000001</v>
      </c>
      <c r="F112" s="1">
        <f>BS!F21</f>
        <v>1520.8130000000001</v>
      </c>
      <c r="G112" s="1">
        <f>BS!G21</f>
        <v>1831.9000042574226</v>
      </c>
      <c r="H112" s="1">
        <f>BS!H21</f>
        <v>2050.5264850951066</v>
      </c>
      <c r="I112" s="1">
        <f>BS!I21</f>
        <v>2243.3496055383202</v>
      </c>
      <c r="J112" s="1">
        <f>BS!J21</f>
        <v>2392.5632381475466</v>
      </c>
      <c r="K112" s="1">
        <f>BS!K21</f>
        <v>2604.0297953509607</v>
      </c>
    </row>
    <row r="113" spans="2:12" x14ac:dyDescent="0.3">
      <c r="C113" s="10">
        <f>C108-SUM(C109:C112)</f>
        <v>-5747.1220000000003</v>
      </c>
      <c r="D113" s="10">
        <f t="shared" ref="D113:K113" si="75">D108-SUM(D109:D112)</f>
        <v>-4722.9529999999995</v>
      </c>
      <c r="E113" s="10">
        <f t="shared" si="75"/>
        <v>-5680.5640000000021</v>
      </c>
      <c r="F113" s="10">
        <f t="shared" si="75"/>
        <v>-5454.3070000000007</v>
      </c>
      <c r="G113" s="10">
        <f t="shared" si="75"/>
        <v>-5508.747271162265</v>
      </c>
      <c r="H113" s="10">
        <f t="shared" si="75"/>
        <v>-5728.309130005784</v>
      </c>
      <c r="I113" s="10">
        <f t="shared" si="75"/>
        <v>-6122.1890872003141</v>
      </c>
      <c r="J113" s="10">
        <f t="shared" si="75"/>
        <v>-6427.4572315865607</v>
      </c>
      <c r="K113" s="10">
        <f t="shared" si="75"/>
        <v>-6674.0012342102555</v>
      </c>
    </row>
    <row r="114" spans="2:12" x14ac:dyDescent="0.3">
      <c r="B114" s="1" t="s">
        <v>241</v>
      </c>
      <c r="D114" s="10">
        <f>D113-C113</f>
        <v>1024.1690000000008</v>
      </c>
      <c r="E114" s="10">
        <f t="shared" ref="E114:K114" si="76">E113-D113</f>
        <v>-957.6110000000026</v>
      </c>
      <c r="F114" s="10">
        <f t="shared" si="76"/>
        <v>226.25700000000143</v>
      </c>
      <c r="G114" s="10">
        <f t="shared" si="76"/>
        <v>-54.440271162264253</v>
      </c>
      <c r="H114" s="10">
        <f t="shared" si="76"/>
        <v>-219.56185884351908</v>
      </c>
      <c r="I114" s="10">
        <f t="shared" si="76"/>
        <v>-393.87995719453011</v>
      </c>
      <c r="J114" s="10">
        <f t="shared" si="76"/>
        <v>-305.2681443862466</v>
      </c>
      <c r="K114" s="10">
        <f t="shared" si="76"/>
        <v>-246.54400262369472</v>
      </c>
      <c r="L114" s="10"/>
    </row>
    <row r="116" spans="2:12" ht="15" thickBot="1" x14ac:dyDescent="0.35">
      <c r="B116" s="23" t="s">
        <v>178</v>
      </c>
    </row>
    <row r="117" spans="2:12" x14ac:dyDescent="0.3">
      <c r="B117" s="1" t="s">
        <v>119</v>
      </c>
      <c r="C117" s="10">
        <v>267460</v>
      </c>
      <c r="D117" s="10">
        <v>131220</v>
      </c>
      <c r="E117" s="10">
        <v>213090</v>
      </c>
      <c r="F117" s="10">
        <v>387930</v>
      </c>
    </row>
    <row r="118" spans="2:12" x14ac:dyDescent="0.3">
      <c r="B118" s="1" t="s">
        <v>179</v>
      </c>
      <c r="C118" s="10">
        <f>C87</f>
        <v>15392.895</v>
      </c>
      <c r="D118" s="10">
        <f t="shared" ref="D118:F118" si="77">D87</f>
        <v>14353.075999999999</v>
      </c>
      <c r="E118" s="10">
        <f t="shared" si="77"/>
        <v>14543.260999999999</v>
      </c>
      <c r="F118" s="10">
        <f t="shared" si="77"/>
        <v>15582.804</v>
      </c>
    </row>
    <row r="119" spans="2:12" x14ac:dyDescent="0.3">
      <c r="B119" s="1" t="s">
        <v>180</v>
      </c>
      <c r="C119" s="10">
        <f>BS!C7</f>
        <v>6027.8040000000001</v>
      </c>
      <c r="D119" s="10">
        <f>BS!D7</f>
        <v>5147.1760000000004</v>
      </c>
      <c r="E119" s="10">
        <f>BS!E7</f>
        <v>7116.9129999999996</v>
      </c>
      <c r="F119" s="10">
        <f>BS!F7</f>
        <v>7804.7330000000002</v>
      </c>
    </row>
    <row r="120" spans="2:12" x14ac:dyDescent="0.3">
      <c r="C120" s="10">
        <f>C117+C118-C119</f>
        <v>276825.09100000001</v>
      </c>
      <c r="D120" s="10">
        <f>D117+D118-D119</f>
        <v>140425.9</v>
      </c>
      <c r="E120" s="10">
        <f t="shared" ref="E120:F120" si="78">E117+E118-E119</f>
        <v>220516.348</v>
      </c>
      <c r="F120" s="10">
        <f t="shared" si="78"/>
        <v>395708.071</v>
      </c>
    </row>
    <row r="121" spans="2:12" x14ac:dyDescent="0.3">
      <c r="B121" s="1" t="s">
        <v>181</v>
      </c>
      <c r="C121" s="63">
        <f>C120/'P&amp;L'!C5</f>
        <v>9.3213867983143821</v>
      </c>
      <c r="D121" s="63">
        <f>D120/'P&amp;L'!D5</f>
        <v>4.4416718987966366</v>
      </c>
      <c r="E121" s="63">
        <f>E120/'P&amp;L'!E5</f>
        <v>6.5389913684892678</v>
      </c>
      <c r="F121" s="63">
        <f>F120/'P&amp;L'!F5</f>
        <v>10.146109483544587</v>
      </c>
    </row>
    <row r="123" spans="2:12" x14ac:dyDescent="0.3">
      <c r="B123" s="1" t="s">
        <v>182</v>
      </c>
      <c r="C123" s="10">
        <f>BS!C28+BS!C31</f>
        <v>16713.933000000001</v>
      </c>
      <c r="D123" s="10">
        <f>BS!D28+BS!D31</f>
        <v>21818.896999999997</v>
      </c>
      <c r="E123" s="10">
        <f>BS!E28+BS!E31</f>
        <v>27734.457999999999</v>
      </c>
      <c r="F123" s="10">
        <f>BS!F28+BS!F31</f>
        <v>37553.043000000005</v>
      </c>
    </row>
    <row r="124" spans="2:12" x14ac:dyDescent="0.3">
      <c r="B124" s="1" t="s">
        <v>183</v>
      </c>
      <c r="C124" s="10">
        <f>BS!C28+BS!C31</f>
        <v>16713.933000000001</v>
      </c>
      <c r="D124" s="10">
        <f>BS!D28+BS!D31</f>
        <v>21818.896999999997</v>
      </c>
      <c r="E124" s="10">
        <f>BS!E28+BS!E31</f>
        <v>27734.457999999999</v>
      </c>
      <c r="F124" s="10">
        <f>BS!F28+BS!F31</f>
        <v>37553.043000000005</v>
      </c>
    </row>
    <row r="125" spans="2:12" x14ac:dyDescent="0.3">
      <c r="D125" s="10">
        <f>AVERAGE(C124:D124)</f>
        <v>19266.415000000001</v>
      </c>
      <c r="E125" s="10">
        <f t="shared" ref="E125:F125" si="79">AVERAGE(D124:E124)</f>
        <v>24776.677499999998</v>
      </c>
      <c r="F125" s="10">
        <f t="shared" si="79"/>
        <v>32643.750500000002</v>
      </c>
    </row>
    <row r="127" spans="2:12" ht="15" thickBot="1" x14ac:dyDescent="0.35">
      <c r="B127" s="23" t="s">
        <v>234</v>
      </c>
      <c r="C127" s="10">
        <v>600.02200000000005</v>
      </c>
      <c r="D127" s="10">
        <v>0</v>
      </c>
      <c r="E127" s="32">
        <v>6045.3469999999998</v>
      </c>
      <c r="F127" s="32">
        <v>6263.7460000000001</v>
      </c>
      <c r="G127" s="10">
        <f>AVERAGE(E127:F127)</f>
        <v>6154.5465000000004</v>
      </c>
      <c r="H127" s="10">
        <f t="shared" ref="H127:K127" si="80">AVERAGE(F127:G127)</f>
        <v>6209.1462499999998</v>
      </c>
      <c r="I127" s="10">
        <f t="shared" si="80"/>
        <v>6181.8463750000001</v>
      </c>
      <c r="J127" s="10">
        <f t="shared" si="80"/>
        <v>6195.4963124999995</v>
      </c>
      <c r="K127" s="10">
        <f t="shared" si="80"/>
        <v>6188.6713437500002</v>
      </c>
    </row>
    <row r="128" spans="2:12" x14ac:dyDescent="0.3">
      <c r="G128" s="10"/>
      <c r="H128" s="10"/>
      <c r="I128" s="10"/>
      <c r="J128" s="10"/>
      <c r="K128" s="10"/>
    </row>
    <row r="129" spans="2:11" x14ac:dyDescent="0.3">
      <c r="B129" s="1" t="s">
        <v>235</v>
      </c>
      <c r="G129" s="32">
        <f>G127/91.47</f>
        <v>67.284863889799936</v>
      </c>
      <c r="H129" s="32">
        <f t="shared" ref="H129:K129" si="81">H127/91.47</f>
        <v>67.881778178637802</v>
      </c>
      <c r="I129" s="32">
        <f t="shared" si="81"/>
        <v>67.583321034218869</v>
      </c>
      <c r="J129" s="32">
        <f t="shared" si="81"/>
        <v>67.732549606428336</v>
      </c>
      <c r="K129" s="32">
        <f t="shared" si="81"/>
        <v>67.657935320323602</v>
      </c>
    </row>
    <row r="130" spans="2:11" x14ac:dyDescent="0.3">
      <c r="B130" s="1" t="s">
        <v>236</v>
      </c>
      <c r="C130" s="10">
        <f>'P&amp;L'!C22-'P&amp;L'!C21</f>
        <v>122.17000000000098</v>
      </c>
      <c r="D130" s="10">
        <f>'P&amp;L'!D22-'P&amp;L'!D21</f>
        <v>65.920000000000982</v>
      </c>
      <c r="E130" s="10">
        <f>'P&amp;L'!E22-'P&amp;L'!E21</f>
        <v>79.269999999999527</v>
      </c>
      <c r="F130" s="10">
        <f>'P&amp;L'!F22-'P&amp;L'!F21</f>
        <v>97.420000000000073</v>
      </c>
      <c r="G130" s="10">
        <f>AVERAGE(D130:F130)</f>
        <v>80.870000000000189</v>
      </c>
      <c r="H130" s="10">
        <f t="shared" ref="H130:K130" si="82">AVERAGE(E130:G130)</f>
        <v>85.853333333333254</v>
      </c>
      <c r="I130" s="10">
        <f t="shared" si="82"/>
        <v>88.047777777777824</v>
      </c>
      <c r="J130" s="10">
        <f t="shared" si="82"/>
        <v>84.923703703703765</v>
      </c>
      <c r="K130" s="10">
        <f t="shared" si="82"/>
        <v>86.274938271604938</v>
      </c>
    </row>
    <row r="131" spans="2:11" x14ac:dyDescent="0.3">
      <c r="C131" s="10">
        <v>403.22</v>
      </c>
      <c r="D131" s="10">
        <v>575.452</v>
      </c>
      <c r="E131" s="10">
        <v>339.36799999999999</v>
      </c>
      <c r="F131" s="11">
        <v>272.58800000000002</v>
      </c>
      <c r="G131" s="10">
        <f>AVERAGE(C131:F131)</f>
        <v>397.65699999999998</v>
      </c>
      <c r="H131" s="10">
        <f t="shared" ref="H131:K131" si="83">AVERAGE(D131:G131)</f>
        <v>396.26624999999996</v>
      </c>
      <c r="I131" s="10">
        <f t="shared" si="83"/>
        <v>351.46981249999999</v>
      </c>
      <c r="J131" s="10">
        <f t="shared" si="83"/>
        <v>354.495265625</v>
      </c>
      <c r="K131" s="10">
        <f t="shared" si="83"/>
        <v>374.97208203124995</v>
      </c>
    </row>
  </sheetData>
  <mergeCells count="4">
    <mergeCell ref="C5:K5"/>
    <mergeCell ref="C10:K10"/>
    <mergeCell ref="C15:K15"/>
    <mergeCell ref="C20:K20"/>
  </mergeCells>
  <pageMargins left="0.7" right="0.7" top="0.75" bottom="0.75" header="0.3" footer="0.3"/>
  <pageSetup fitToWidth="0" orientation="portrait" r:id="rId1"/>
  <ignoredErrors>
    <ignoredError sqref="D77 E77:F77 G127:K127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D4C4-49A9-4663-A57D-CD28AE0BD8FD}">
  <sheetPr>
    <pageSetUpPr fitToPage="1"/>
  </sheetPr>
  <dimension ref="B3:P24"/>
  <sheetViews>
    <sheetView showGridLines="0" zoomScale="110" zoomScaleNormal="110" workbookViewId="0">
      <selection activeCell="L31" sqref="L31"/>
    </sheetView>
  </sheetViews>
  <sheetFormatPr defaultRowHeight="14.4" x14ac:dyDescent="0.3"/>
  <cols>
    <col min="1" max="1" width="1.88671875" customWidth="1"/>
    <col min="2" max="2" width="22" customWidth="1"/>
    <col min="3" max="3" width="6" bestFit="1" customWidth="1"/>
    <col min="4" max="4" width="7" bestFit="1" customWidth="1"/>
    <col min="5" max="5" width="10.21875" bestFit="1" customWidth="1"/>
    <col min="6" max="6" width="11.33203125" bestFit="1" customWidth="1"/>
    <col min="7" max="7" width="8.44140625" bestFit="1" customWidth="1"/>
    <col min="8" max="8" width="14.77734375" bestFit="1" customWidth="1"/>
    <col min="9" max="9" width="0.88671875" customWidth="1"/>
    <col min="10" max="10" width="8.6640625" bestFit="1" customWidth="1"/>
    <col min="11" max="11" width="8.33203125" customWidth="1"/>
    <col min="12" max="12" width="10.6640625" bestFit="1" customWidth="1"/>
    <col min="13" max="13" width="0.88671875" customWidth="1"/>
    <col min="14" max="14" width="11.21875" bestFit="1" customWidth="1"/>
    <col min="15" max="15" width="10" bestFit="1" customWidth="1"/>
    <col min="16" max="16" width="9.5546875" bestFit="1" customWidth="1"/>
  </cols>
  <sheetData>
    <row r="3" spans="2:16" ht="18" x14ac:dyDescent="0.35">
      <c r="B3" s="131" t="s">
        <v>265</v>
      </c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  <c r="P3" s="131"/>
    </row>
    <row r="4" spans="2:16" x14ac:dyDescent="0.3">
      <c r="B4" s="130" t="s">
        <v>215</v>
      </c>
      <c r="C4" s="130"/>
      <c r="D4" s="130"/>
      <c r="E4" s="130"/>
      <c r="F4" s="130"/>
      <c r="G4" s="130"/>
      <c r="H4" s="130"/>
      <c r="J4" s="130" t="s">
        <v>264</v>
      </c>
      <c r="K4" s="130"/>
      <c r="L4" s="130"/>
      <c r="N4" s="130" t="s">
        <v>159</v>
      </c>
      <c r="O4" s="130"/>
      <c r="P4" s="130"/>
    </row>
    <row r="5" spans="2:16" x14ac:dyDescent="0.3">
      <c r="B5" s="6" t="s">
        <v>184</v>
      </c>
      <c r="C5" s="6" t="s">
        <v>212</v>
      </c>
      <c r="D5" s="115" t="s">
        <v>158</v>
      </c>
      <c r="E5" s="115" t="s">
        <v>213</v>
      </c>
      <c r="F5" s="115" t="s">
        <v>164</v>
      </c>
      <c r="G5" s="115" t="s">
        <v>214</v>
      </c>
      <c r="H5" s="115" t="s">
        <v>148</v>
      </c>
      <c r="I5" s="6"/>
      <c r="J5" s="115" t="s">
        <v>216</v>
      </c>
      <c r="K5" s="115" t="s">
        <v>217</v>
      </c>
      <c r="L5" s="115" t="s">
        <v>218</v>
      </c>
      <c r="M5" s="6"/>
      <c r="N5" s="115" t="s">
        <v>229</v>
      </c>
      <c r="O5" s="115" t="s">
        <v>211</v>
      </c>
      <c r="P5" s="115" t="s">
        <v>210</v>
      </c>
    </row>
    <row r="6" spans="2:16" x14ac:dyDescent="0.3">
      <c r="B6" s="116" t="s">
        <v>223</v>
      </c>
      <c r="C6" s="116" t="s">
        <v>224</v>
      </c>
      <c r="D6" s="117">
        <v>90.53</v>
      </c>
      <c r="E6" s="114">
        <v>4.24</v>
      </c>
      <c r="F6" s="114">
        <v>384.02</v>
      </c>
      <c r="G6" s="114">
        <v>77.780709999999999</v>
      </c>
      <c r="H6" s="114">
        <v>389.16</v>
      </c>
      <c r="J6" s="114">
        <v>43.378787000000003</v>
      </c>
      <c r="K6" s="114">
        <v>28.970172999999999</v>
      </c>
      <c r="L6" s="114">
        <v>10.43</v>
      </c>
      <c r="N6" s="113">
        <f>H6/J6</f>
        <v>8.9712052114320304</v>
      </c>
      <c r="O6" s="113">
        <f>H6/K6</f>
        <v>13.433126547086896</v>
      </c>
      <c r="P6" s="113">
        <f>F6/L6</f>
        <v>36.818791946308721</v>
      </c>
    </row>
    <row r="7" spans="2:16" x14ac:dyDescent="0.3">
      <c r="B7" t="s">
        <v>220</v>
      </c>
      <c r="C7" t="s">
        <v>222</v>
      </c>
      <c r="D7" s="7">
        <v>114.17</v>
      </c>
      <c r="E7" s="118">
        <v>1.79</v>
      </c>
      <c r="F7" s="118">
        <v>203.83</v>
      </c>
      <c r="G7" s="118">
        <v>36.331000000000003</v>
      </c>
      <c r="H7" s="118">
        <v>243.01</v>
      </c>
      <c r="J7" s="7">
        <v>94.42</v>
      </c>
      <c r="K7" s="118">
        <v>19.140999999999998</v>
      </c>
      <c r="L7" s="118">
        <v>12.4</v>
      </c>
      <c r="N7" s="119">
        <f>H7/J7</f>
        <v>2.5737131963567039</v>
      </c>
      <c r="O7" s="119">
        <f>H7/K7</f>
        <v>12.695783919335458</v>
      </c>
      <c r="P7" s="119">
        <f>F7/L7</f>
        <v>16.437903225806451</v>
      </c>
    </row>
    <row r="8" spans="2:16" x14ac:dyDescent="0.3">
      <c r="B8" t="s">
        <v>219</v>
      </c>
      <c r="C8" t="s">
        <v>221</v>
      </c>
      <c r="D8" s="7">
        <v>28.32</v>
      </c>
      <c r="E8" s="118">
        <v>2.48</v>
      </c>
      <c r="F8" s="118">
        <v>70.290999999999997</v>
      </c>
      <c r="G8" s="118">
        <v>34.192999999999998</v>
      </c>
      <c r="H8" s="118">
        <v>99.45</v>
      </c>
      <c r="J8" s="7">
        <v>37.86</v>
      </c>
      <c r="K8" s="118">
        <v>21.853999999999999</v>
      </c>
      <c r="L8" s="118">
        <v>0.48899999999999999</v>
      </c>
      <c r="N8" s="119">
        <f>H8/J8</f>
        <v>2.626782884310618</v>
      </c>
      <c r="O8" s="119">
        <f>H8/K8</f>
        <v>4.5506543424544708</v>
      </c>
      <c r="P8" s="119">
        <f>F8/L8</f>
        <v>143.74437627811861</v>
      </c>
    </row>
    <row r="10" spans="2:16" x14ac:dyDescent="0.3">
      <c r="B10" s="116" t="s">
        <v>225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3">
        <f>MAX(N7:N8)</f>
        <v>2.626782884310618</v>
      </c>
      <c r="O10" s="113">
        <f>MAX(O7:O8)</f>
        <v>12.695783919335458</v>
      </c>
      <c r="P10" s="113">
        <f>MAX(P7:P8)</f>
        <v>143.74437627811861</v>
      </c>
    </row>
    <row r="11" spans="2:16" x14ac:dyDescent="0.3">
      <c r="B11" s="116" t="s">
        <v>226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4">
        <f>QUARTILE(N7:N8,3)</f>
        <v>2.6135154623221393</v>
      </c>
      <c r="O11" s="114">
        <f>QUARTILE(O7:O8,3)</f>
        <v>10.659501525115211</v>
      </c>
      <c r="P11" s="114">
        <f>QUARTILE(P7:P8,3)</f>
        <v>111.91775801504056</v>
      </c>
    </row>
    <row r="12" spans="2:16" x14ac:dyDescent="0.3">
      <c r="B12" s="76" t="s">
        <v>109</v>
      </c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7">
        <f>AVERAGE(N7:N8)</f>
        <v>2.600248040333661</v>
      </c>
      <c r="O12" s="77">
        <f>AVERAGE(O7:O8)</f>
        <v>8.6232191308949648</v>
      </c>
      <c r="P12" s="77">
        <f>AVERAGE(P7:P8)</f>
        <v>80.09113975196253</v>
      </c>
    </row>
    <row r="13" spans="2:16" x14ac:dyDescent="0.3">
      <c r="B13" s="76" t="s">
        <v>110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7">
        <f>MEDIAN(N7:N8)</f>
        <v>2.600248040333661</v>
      </c>
      <c r="O13" s="77">
        <f>MEDIAN(O7:O8)</f>
        <v>8.6232191308949631</v>
      </c>
      <c r="P13" s="77">
        <f>MEDIAN(P7:P8)</f>
        <v>80.09113975196253</v>
      </c>
    </row>
    <row r="14" spans="2:16" x14ac:dyDescent="0.3">
      <c r="B14" s="116" t="s">
        <v>227</v>
      </c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4">
        <f>QUARTILE(N7:N8,1)</f>
        <v>2.5869806183451827</v>
      </c>
      <c r="O14" s="114">
        <f>QUARTILE(O7:O8,1)</f>
        <v>6.5869367366747174</v>
      </c>
      <c r="P14" s="114">
        <f>QUARTILE(P7:P8,1)</f>
        <v>48.26452148888449</v>
      </c>
    </row>
    <row r="15" spans="2:16" x14ac:dyDescent="0.3">
      <c r="B15" s="116" t="s">
        <v>228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3">
        <f>MIN(N7:N8)</f>
        <v>2.5737131963567039</v>
      </c>
      <c r="O15" s="113">
        <f>MIN(O7:O8)</f>
        <v>4.5506543424544708</v>
      </c>
      <c r="P15" s="113">
        <f>MIN(P7:P8)</f>
        <v>16.437903225806451</v>
      </c>
    </row>
    <row r="17" spans="2:16" x14ac:dyDescent="0.3">
      <c r="B17" s="64" t="s">
        <v>230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120" t="s">
        <v>229</v>
      </c>
      <c r="O17" s="120" t="s">
        <v>211</v>
      </c>
      <c r="P17" s="120" t="s">
        <v>210</v>
      </c>
    </row>
    <row r="18" spans="2:16" x14ac:dyDescent="0.3">
      <c r="B18" t="s">
        <v>231</v>
      </c>
      <c r="N18" s="118">
        <f>N13*J6</f>
        <v>112.79560588880129</v>
      </c>
      <c r="O18" s="118">
        <f>O13*K6</f>
        <v>249.81615003893671</v>
      </c>
      <c r="P18" s="118"/>
    </row>
    <row r="19" spans="2:16" x14ac:dyDescent="0.3">
      <c r="B19" t="s">
        <v>214</v>
      </c>
      <c r="N19" s="121">
        <f>$G$6</f>
        <v>77.780709999999999</v>
      </c>
      <c r="O19" s="121">
        <f>$G$6</f>
        <v>77.780709999999999</v>
      </c>
      <c r="P19" s="121">
        <f>$G$6</f>
        <v>77.780709999999999</v>
      </c>
    </row>
    <row r="20" spans="2:16" x14ac:dyDescent="0.3">
      <c r="B20" t="s">
        <v>232</v>
      </c>
      <c r="N20" s="118">
        <f>N18-N19</f>
        <v>35.014895888801291</v>
      </c>
      <c r="O20" s="118">
        <f>O18-O19</f>
        <v>172.03544003893671</v>
      </c>
      <c r="P20" s="118">
        <f>P13*L6</f>
        <v>835.35058761296921</v>
      </c>
    </row>
    <row r="21" spans="2:16" x14ac:dyDescent="0.3">
      <c r="B21" t="s">
        <v>213</v>
      </c>
      <c r="N21" s="118">
        <f>$E$6</f>
        <v>4.24</v>
      </c>
      <c r="O21" s="118">
        <f>$E$6</f>
        <v>4.24</v>
      </c>
      <c r="P21" s="118">
        <f>$E$6</f>
        <v>4.24</v>
      </c>
    </row>
    <row r="22" spans="2:16" x14ac:dyDescent="0.3">
      <c r="B22" s="76" t="s">
        <v>233</v>
      </c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122">
        <f>N20/N21</f>
        <v>8.2582301624531347</v>
      </c>
      <c r="O22" s="122">
        <f>O20/O21</f>
        <v>40.574396235598279</v>
      </c>
      <c r="P22" s="122">
        <f>P20/P21</f>
        <v>197.0166480219267</v>
      </c>
    </row>
    <row r="24" spans="2:16" x14ac:dyDescent="0.3">
      <c r="B24" s="36" t="s">
        <v>281</v>
      </c>
    </row>
  </sheetData>
  <mergeCells count="4">
    <mergeCell ref="B4:H4"/>
    <mergeCell ref="J4:L4"/>
    <mergeCell ref="N4:P4"/>
    <mergeCell ref="B3:P3"/>
  </mergeCells>
  <pageMargins left="0.25" right="0.25" top="0.75" bottom="0.75" header="0.3" footer="0.3"/>
  <pageSetup scale="94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E935-60A8-481A-9B52-B9430B7E1DBA}">
  <sheetPr>
    <pageSetUpPr fitToPage="1"/>
  </sheetPr>
  <dimension ref="B3:O85"/>
  <sheetViews>
    <sheetView showGridLines="0" zoomScale="110" zoomScaleNormal="110" workbookViewId="0">
      <pane ySplit="7" topLeftCell="A10" activePane="bottomLeft" state="frozen"/>
      <selection pane="bottomLeft" activeCell="M18" sqref="M18"/>
    </sheetView>
  </sheetViews>
  <sheetFormatPr defaultRowHeight="14.4" x14ac:dyDescent="0.3"/>
  <cols>
    <col min="1" max="1" width="1.88671875" customWidth="1"/>
    <col min="2" max="2" width="8.88671875" style="1"/>
    <col min="3" max="3" width="14" style="1" bestFit="1" customWidth="1"/>
    <col min="4" max="9" width="8.88671875" style="1"/>
    <col min="10" max="10" width="8.88671875" style="1" customWidth="1"/>
    <col min="11" max="11" width="14.77734375" style="1" bestFit="1" customWidth="1"/>
    <col min="12" max="12" width="10.5546875" style="1" bestFit="1" customWidth="1"/>
    <col min="13" max="13" width="10.77734375" bestFit="1" customWidth="1"/>
  </cols>
  <sheetData>
    <row r="3" spans="3:15" ht="14.4" customHeight="1" x14ac:dyDescent="0.3"/>
    <row r="4" spans="3:15" ht="14.4" customHeight="1" x14ac:dyDescent="0.3">
      <c r="C4" s="137" t="s">
        <v>242</v>
      </c>
      <c r="D4" s="137"/>
      <c r="E4" s="137"/>
      <c r="F4" s="137"/>
      <c r="G4" s="137"/>
      <c r="H4" s="137"/>
      <c r="I4" s="137"/>
      <c r="J4" s="137"/>
      <c r="K4" s="137"/>
      <c r="L4" s="137"/>
    </row>
    <row r="5" spans="3:15" x14ac:dyDescent="0.3">
      <c r="K5" s="81" t="s">
        <v>123</v>
      </c>
      <c r="L5" s="82">
        <f>WACC!H25</f>
        <v>8.1171253906566793E-2</v>
      </c>
    </row>
    <row r="6" spans="3:15" x14ac:dyDescent="0.3">
      <c r="C6" s="60" t="s">
        <v>138</v>
      </c>
      <c r="D6" s="57">
        <f>CFS!D3</f>
        <v>2025</v>
      </c>
      <c r="E6" s="57">
        <f>CFS!E3</f>
        <v>2026</v>
      </c>
      <c r="F6" s="57">
        <f>CFS!F3</f>
        <v>2027</v>
      </c>
      <c r="G6" s="57">
        <f>CFS!G3</f>
        <v>2028</v>
      </c>
      <c r="H6" s="57">
        <f>CFS!H3</f>
        <v>2029</v>
      </c>
      <c r="K6" s="81" t="s">
        <v>137</v>
      </c>
      <c r="L6" s="82">
        <v>0.03</v>
      </c>
    </row>
    <row r="7" spans="3:15" x14ac:dyDescent="0.3">
      <c r="C7" s="60" t="s">
        <v>139</v>
      </c>
      <c r="D7" s="60">
        <v>1</v>
      </c>
      <c r="E7" s="60">
        <f>D7+1</f>
        <v>2</v>
      </c>
      <c r="F7" s="60">
        <f t="shared" ref="F7:H7" si="0">E7+1</f>
        <v>3</v>
      </c>
      <c r="G7" s="60">
        <f t="shared" si="0"/>
        <v>4</v>
      </c>
      <c r="H7" s="60">
        <f t="shared" si="0"/>
        <v>5</v>
      </c>
      <c r="K7" s="81" t="s">
        <v>115</v>
      </c>
      <c r="L7" s="82">
        <v>0.1258</v>
      </c>
    </row>
    <row r="10" spans="3:15" ht="15.6" x14ac:dyDescent="0.3">
      <c r="C10" s="86"/>
      <c r="D10" s="138" t="s">
        <v>161</v>
      </c>
      <c r="E10" s="138"/>
      <c r="F10" s="138"/>
      <c r="G10" s="138"/>
      <c r="H10" s="138"/>
      <c r="I10" s="83"/>
      <c r="J10" s="83"/>
      <c r="K10" s="87" t="s">
        <v>146</v>
      </c>
      <c r="L10" s="88"/>
    </row>
    <row r="11" spans="3:15" x14ac:dyDescent="0.3">
      <c r="C11" s="89" t="s">
        <v>140</v>
      </c>
      <c r="D11" s="1">
        <f>'P&amp;L'!G10</f>
        <v>14591.925650067271</v>
      </c>
      <c r="E11" s="1">
        <f>'P&amp;L'!H10</f>
        <v>17732.142538299231</v>
      </c>
      <c r="F11" s="1">
        <f>'P&amp;L'!I10</f>
        <v>19203.191638465054</v>
      </c>
      <c r="G11" s="1">
        <f>'P&amp;L'!J10</f>
        <v>20128.655071936591</v>
      </c>
      <c r="H11" s="1">
        <f>'P&amp;L'!K10</f>
        <v>21932.930898267805</v>
      </c>
      <c r="K11" s="1" t="s">
        <v>147</v>
      </c>
      <c r="L11" s="71">
        <f>H17*(1+L6)/(L5-L6)</f>
        <v>306381.18838912109</v>
      </c>
    </row>
    <row r="12" spans="3:15" x14ac:dyDescent="0.3">
      <c r="C12" s="89" t="s">
        <v>115</v>
      </c>
      <c r="D12" s="1">
        <f>D11*$L$7</f>
        <v>1835.6642467784627</v>
      </c>
      <c r="E12" s="1">
        <f>E11*$L$7</f>
        <v>2230.7035313180431</v>
      </c>
      <c r="F12" s="1">
        <f>F11*$L$7</f>
        <v>2415.7615081189037</v>
      </c>
      <c r="G12" s="1">
        <f>G11*$L$7</f>
        <v>2532.1848080496229</v>
      </c>
      <c r="H12" s="1">
        <f>H11*$L$7</f>
        <v>2759.16270700209</v>
      </c>
      <c r="K12" s="1" t="s">
        <v>155</v>
      </c>
      <c r="L12" s="71">
        <f>L11/(1+L5)^H7</f>
        <v>207390.87570303757</v>
      </c>
      <c r="M12" s="40"/>
    </row>
    <row r="13" spans="3:15" x14ac:dyDescent="0.3">
      <c r="C13" s="86" t="s">
        <v>141</v>
      </c>
      <c r="D13" s="83">
        <f>D11-D12</f>
        <v>12756.261403288809</v>
      </c>
      <c r="E13" s="83">
        <f t="shared" ref="E13:H13" si="1">E11-E12</f>
        <v>15501.439006981189</v>
      </c>
      <c r="F13" s="83">
        <f t="shared" si="1"/>
        <v>16787.430130346151</v>
      </c>
      <c r="G13" s="83">
        <f t="shared" si="1"/>
        <v>17596.470263886968</v>
      </c>
      <c r="H13" s="83">
        <f t="shared" si="1"/>
        <v>19173.768191265714</v>
      </c>
      <c r="L13" s="71"/>
    </row>
    <row r="14" spans="3:15" x14ac:dyDescent="0.3">
      <c r="C14" s="89" t="s">
        <v>142</v>
      </c>
      <c r="D14" s="1">
        <f>Assumptions!G56-Assumptions!G65</f>
        <v>15417.236612855515</v>
      </c>
      <c r="E14" s="1">
        <f>Assumptions!H56-Assumptions!H65</f>
        <v>16440.3551362035</v>
      </c>
      <c r="F14" s="1">
        <f>Assumptions!I56-Assumptions!I65</f>
        <v>18256.327127475823</v>
      </c>
      <c r="G14" s="1">
        <f>Assumptions!J56-Assumptions!J65</f>
        <v>20495.966167019738</v>
      </c>
      <c r="H14" s="1">
        <f>Assumptions!K56-Assumptions!K65</f>
        <v>21916.943380678284</v>
      </c>
      <c r="K14" s="1" t="s">
        <v>148</v>
      </c>
      <c r="L14" s="71">
        <f>SUM(L12,D18:H18)</f>
        <v>257780.04063770763</v>
      </c>
    </row>
    <row r="15" spans="3:15" x14ac:dyDescent="0.3">
      <c r="C15" s="89" t="s">
        <v>143</v>
      </c>
      <c r="D15" s="1">
        <f>-CFS!D7-CFS!D17</f>
        <v>18088.060755045677</v>
      </c>
      <c r="E15" s="1">
        <f>-CFS!E7-CFS!E17</f>
        <v>20403.357893781023</v>
      </c>
      <c r="F15" s="1">
        <f>-CFS!F7-CFS!F17</f>
        <v>22589.733475663706</v>
      </c>
      <c r="G15" s="1">
        <f>-CFS!G7-CFS!G17</f>
        <v>24074.438640509852</v>
      </c>
      <c r="H15" s="1">
        <f>-CFS!H7-CFS!H17</f>
        <v>26115.984134513914</v>
      </c>
      <c r="K15" s="29" t="s">
        <v>149</v>
      </c>
      <c r="L15" s="71">
        <f>BS!F22+BS!F25</f>
        <v>15582.804</v>
      </c>
    </row>
    <row r="16" spans="3:15" x14ac:dyDescent="0.3">
      <c r="C16" s="89" t="s">
        <v>144</v>
      </c>
      <c r="D16" s="1">
        <f>Assumptions!G114</f>
        <v>-54.440271162264253</v>
      </c>
      <c r="E16" s="1">
        <f>Assumptions!H114</f>
        <v>-219.56185884351908</v>
      </c>
      <c r="F16" s="1">
        <f>Assumptions!I114</f>
        <v>-393.87995719453011</v>
      </c>
      <c r="G16" s="1">
        <f>Assumptions!J114</f>
        <v>-305.2681443862466</v>
      </c>
      <c r="H16" s="1">
        <f>Assumptions!K114</f>
        <v>-246.54400262369472</v>
      </c>
      <c r="K16" s="29" t="s">
        <v>150</v>
      </c>
      <c r="L16" s="71">
        <v>0</v>
      </c>
      <c r="O16" s="40"/>
    </row>
    <row r="17" spans="3:13" x14ac:dyDescent="0.3">
      <c r="C17" s="90" t="s">
        <v>145</v>
      </c>
      <c r="D17" s="85">
        <f>D13+D14-D15-D16</f>
        <v>10139.877532260911</v>
      </c>
      <c r="E17" s="85">
        <f t="shared" ref="E17:G17" si="2">E13+E14-E15-E16</f>
        <v>11757.998108247184</v>
      </c>
      <c r="F17" s="85">
        <f t="shared" si="2"/>
        <v>12847.903739352794</v>
      </c>
      <c r="G17" s="85">
        <f t="shared" si="2"/>
        <v>14323.265934783096</v>
      </c>
      <c r="H17" s="85">
        <f>H13+H14-H15-H16</f>
        <v>15221.271440053777</v>
      </c>
      <c r="K17" s="29" t="s">
        <v>151</v>
      </c>
      <c r="L17" s="71">
        <f>BS!F7</f>
        <v>7804.7330000000002</v>
      </c>
    </row>
    <row r="18" spans="3:13" ht="15" thickBot="1" x14ac:dyDescent="0.35">
      <c r="C18" s="91" t="s">
        <v>162</v>
      </c>
      <c r="D18" s="84">
        <f>D17/(1+$L$5)^D7</f>
        <v>9378.6044492237161</v>
      </c>
      <c r="E18" s="84">
        <f>E17/(1+$L$5)^E7</f>
        <v>10058.759061945979</v>
      </c>
      <c r="F18" s="84">
        <f>F17/(1+$L$5)^F7</f>
        <v>10165.969525630146</v>
      </c>
      <c r="G18" s="84">
        <f>G17/(1+$L$5)^G7</f>
        <v>10482.481258544609</v>
      </c>
      <c r="H18" s="84">
        <f>H17/(1+$L$5)^H7</f>
        <v>10303.350639325603</v>
      </c>
      <c r="K18" s="29" t="s">
        <v>152</v>
      </c>
      <c r="L18" s="71">
        <f>BS!F8</f>
        <v>1779.0060000000001</v>
      </c>
    </row>
    <row r="19" spans="3:13" ht="15" thickTop="1" x14ac:dyDescent="0.3">
      <c r="C19" s="89"/>
      <c r="K19" s="92" t="s">
        <v>153</v>
      </c>
      <c r="L19" s="93">
        <f>L14-L15-L16+L17+L18</f>
        <v>251780.97563770763</v>
      </c>
    </row>
    <row r="20" spans="3:13" x14ac:dyDescent="0.3">
      <c r="C20" s="89"/>
      <c r="E20" s="134" t="s">
        <v>163</v>
      </c>
      <c r="F20" s="134"/>
      <c r="G20" s="134"/>
      <c r="H20" s="134"/>
      <c r="I20" s="134"/>
      <c r="K20" s="1" t="s">
        <v>154</v>
      </c>
      <c r="L20" s="71">
        <f>'P&amp;L'!F22</f>
        <v>4392.6100000000006</v>
      </c>
    </row>
    <row r="21" spans="3:13" x14ac:dyDescent="0.3">
      <c r="C21" s="89"/>
      <c r="E21" s="134" t="s">
        <v>123</v>
      </c>
      <c r="F21" s="134"/>
      <c r="G21" s="134"/>
      <c r="H21" s="134"/>
      <c r="I21" s="134"/>
      <c r="K21" s="80" t="s">
        <v>157</v>
      </c>
      <c r="L21" s="94">
        <f>L19/L20</f>
        <v>57.319219242707092</v>
      </c>
    </row>
    <row r="22" spans="3:13" x14ac:dyDescent="0.3">
      <c r="C22" s="135" t="s">
        <v>137</v>
      </c>
      <c r="D22" s="95">
        <f>L21</f>
        <v>57.319219242707092</v>
      </c>
      <c r="E22" s="69">
        <v>6.1199999999999997E-2</v>
      </c>
      <c r="F22" s="69">
        <v>7.1199999999999999E-2</v>
      </c>
      <c r="G22" s="69">
        <v>8.1199999999999994E-2</v>
      </c>
      <c r="H22" s="69">
        <v>9.1200000000000003E-2</v>
      </c>
      <c r="I22" s="69">
        <v>0.1012</v>
      </c>
      <c r="L22" s="66"/>
    </row>
    <row r="23" spans="3:13" x14ac:dyDescent="0.3">
      <c r="C23" s="135"/>
      <c r="D23" s="69">
        <v>2.5000000000000001E-2</v>
      </c>
      <c r="E23" s="95">
        <f t="dataTable" ref="E23:I27" dt2D="1" dtr="1" r1="L5" r2="L6" ca="1"/>
        <v>83.684922230406301</v>
      </c>
      <c r="F23" s="95">
        <v>64.942530619197157</v>
      </c>
      <c r="G23" s="95">
        <v>52.879272962108111</v>
      </c>
      <c r="H23" s="95">
        <v>44.467998198095508</v>
      </c>
      <c r="I23" s="95">
        <v>38.270627847156902</v>
      </c>
      <c r="K23" s="12" t="s">
        <v>158</v>
      </c>
      <c r="L23" s="96" t="s">
        <v>262</v>
      </c>
    </row>
    <row r="24" spans="3:13" x14ac:dyDescent="0.3">
      <c r="C24" s="135"/>
      <c r="D24" s="69">
        <v>0.03</v>
      </c>
      <c r="E24" s="95">
        <v>95.781044257319238</v>
      </c>
      <c r="F24" s="95">
        <v>71.855694330497712</v>
      </c>
      <c r="G24" s="95">
        <v>57.285510078951901</v>
      </c>
      <c r="H24" s="95">
        <v>47.484276766692261</v>
      </c>
      <c r="I24" s="95">
        <v>40.442321256322707</v>
      </c>
      <c r="K24" s="112" t="s">
        <v>263</v>
      </c>
      <c r="L24" s="71"/>
    </row>
    <row r="25" spans="3:13" x14ac:dyDescent="0.3">
      <c r="C25" s="135"/>
      <c r="D25" s="69">
        <v>3.5000000000000003E-2</v>
      </c>
      <c r="E25" s="95">
        <v>112.49400675251955</v>
      </c>
      <c r="F25" s="95">
        <v>80.678571774201743</v>
      </c>
      <c r="G25" s="95">
        <v>62.645478173467502</v>
      </c>
      <c r="H25" s="95">
        <v>51.037259706925425</v>
      </c>
      <c r="I25" s="95">
        <v>42.942065029410841</v>
      </c>
      <c r="K25" s="1" t="s">
        <v>159</v>
      </c>
      <c r="L25" s="71" t="str" cm="1">
        <f t="array" ref="L25">IF(L21&gt;Table_8__2[Column1],"Undervalued","Overvalued")</f>
        <v>Overvalued</v>
      </c>
      <c r="M25" s="37"/>
    </row>
    <row r="26" spans="3:13" x14ac:dyDescent="0.3">
      <c r="C26" s="135"/>
      <c r="D26" s="69">
        <v>0.04</v>
      </c>
      <c r="E26" s="95">
        <v>137.09044212281438</v>
      </c>
      <c r="F26" s="95">
        <v>92.32929455242629</v>
      </c>
      <c r="G26" s="95">
        <v>69.306409397719889</v>
      </c>
      <c r="H26" s="95">
        <v>55.2841846276729</v>
      </c>
      <c r="I26" s="95">
        <v>45.850263667382663</v>
      </c>
      <c r="L26" s="71"/>
    </row>
    <row r="27" spans="3:13" x14ac:dyDescent="0.3">
      <c r="C27" s="136"/>
      <c r="D27" s="70">
        <v>4.4999999999999998E-2</v>
      </c>
      <c r="E27" s="97">
        <v>176.86986228958747</v>
      </c>
      <c r="F27" s="97">
        <v>108.42685808569834</v>
      </c>
      <c r="G27" s="97">
        <v>77.807376871765754</v>
      </c>
      <c r="H27" s="97">
        <v>60.450357366763953</v>
      </c>
      <c r="I27" s="97">
        <v>49.275935372609233</v>
      </c>
      <c r="J27" s="98"/>
      <c r="K27" s="98"/>
      <c r="L27" s="99"/>
    </row>
    <row r="30" spans="3:13" ht="15.6" x14ac:dyDescent="0.3">
      <c r="C30" s="86"/>
      <c r="D30" s="138" t="s">
        <v>160</v>
      </c>
      <c r="E30" s="138"/>
      <c r="F30" s="138"/>
      <c r="G30" s="138"/>
      <c r="H30" s="138"/>
      <c r="I30" s="83"/>
      <c r="J30" s="83"/>
      <c r="K30" s="132" t="s">
        <v>146</v>
      </c>
      <c r="L30" s="133"/>
    </row>
    <row r="31" spans="3:13" x14ac:dyDescent="0.3">
      <c r="C31" s="89" t="s">
        <v>140</v>
      </c>
      <c r="D31" s="1">
        <f>'P&amp;L'!G10</f>
        <v>14591.925650067271</v>
      </c>
      <c r="E31" s="1">
        <f>'P&amp;L'!H10</f>
        <v>17732.142538299231</v>
      </c>
      <c r="F31" s="1">
        <f>'P&amp;L'!I10</f>
        <v>19203.191638465054</v>
      </c>
      <c r="G31" s="1">
        <f>'P&amp;L'!J10</f>
        <v>20128.655071936591</v>
      </c>
      <c r="H31" s="1">
        <f>'P&amp;L'!K10</f>
        <v>21932.930898267805</v>
      </c>
      <c r="K31" s="1" t="s">
        <v>147</v>
      </c>
      <c r="L31" s="71">
        <f>H38*(1+L6)/(L5-L6)</f>
        <v>314432.58382203872</v>
      </c>
    </row>
    <row r="32" spans="3:13" x14ac:dyDescent="0.3">
      <c r="C32" s="89" t="s">
        <v>115</v>
      </c>
      <c r="D32" s="1">
        <f>D31*$L$7</f>
        <v>1835.6642467784627</v>
      </c>
      <c r="E32" s="1">
        <f>E31*$L$7</f>
        <v>2230.7035313180431</v>
      </c>
      <c r="F32" s="1">
        <f>F31*$L$7</f>
        <v>2415.7615081189037</v>
      </c>
      <c r="G32" s="1">
        <f>G31*$L$7</f>
        <v>2532.1848080496229</v>
      </c>
      <c r="H32" s="1">
        <f>H31*$L$7</f>
        <v>2759.16270700209</v>
      </c>
      <c r="K32" s="1" t="s">
        <v>155</v>
      </c>
      <c r="L32" s="71">
        <f>L31/(1+L5)^H7</f>
        <v>212840.90335729258</v>
      </c>
    </row>
    <row r="33" spans="3:12" x14ac:dyDescent="0.3">
      <c r="C33" s="86" t="s">
        <v>141</v>
      </c>
      <c r="D33" s="83">
        <f>D31-D32</f>
        <v>12756.261403288809</v>
      </c>
      <c r="E33" s="83">
        <f t="shared" ref="E33:H33" si="3">E31-E32</f>
        <v>15501.439006981189</v>
      </c>
      <c r="F33" s="83">
        <f t="shared" si="3"/>
        <v>16787.430130346151</v>
      </c>
      <c r="G33" s="83">
        <f t="shared" si="3"/>
        <v>17596.470263886968</v>
      </c>
      <c r="H33" s="83">
        <f t="shared" si="3"/>
        <v>19173.768191265714</v>
      </c>
      <c r="L33" s="71"/>
    </row>
    <row r="34" spans="3:12" x14ac:dyDescent="0.3">
      <c r="C34" s="89" t="s">
        <v>142</v>
      </c>
      <c r="D34" s="1">
        <f t="shared" ref="D34:H36" si="4">D14</f>
        <v>15417.236612855515</v>
      </c>
      <c r="E34" s="1">
        <f t="shared" si="4"/>
        <v>16440.3551362035</v>
      </c>
      <c r="F34" s="1">
        <f t="shared" si="4"/>
        <v>18256.327127475823</v>
      </c>
      <c r="G34" s="1">
        <f t="shared" si="4"/>
        <v>20495.966167019738</v>
      </c>
      <c r="H34" s="1">
        <f t="shared" si="4"/>
        <v>21916.943380678284</v>
      </c>
      <c r="K34" s="92" t="s">
        <v>164</v>
      </c>
      <c r="L34" s="93">
        <f>SUM(L32,D39:H39)</f>
        <v>264822.23425774853</v>
      </c>
    </row>
    <row r="35" spans="3:12" x14ac:dyDescent="0.3">
      <c r="C35" s="89" t="s">
        <v>143</v>
      </c>
      <c r="D35" s="1">
        <f t="shared" si="4"/>
        <v>18088.060755045677</v>
      </c>
      <c r="E35" s="1">
        <f t="shared" si="4"/>
        <v>20403.357893781023</v>
      </c>
      <c r="F35" s="1">
        <f t="shared" si="4"/>
        <v>22589.733475663706</v>
      </c>
      <c r="G35" s="1">
        <f t="shared" si="4"/>
        <v>24074.438640509852</v>
      </c>
      <c r="H35" s="1">
        <f t="shared" si="4"/>
        <v>26115.984134513914</v>
      </c>
      <c r="K35"/>
      <c r="L35" s="66"/>
    </row>
    <row r="36" spans="3:12" x14ac:dyDescent="0.3">
      <c r="C36" s="89" t="s">
        <v>144</v>
      </c>
      <c r="D36" s="1">
        <f t="shared" si="4"/>
        <v>-54.440271162264253</v>
      </c>
      <c r="E36" s="1">
        <f t="shared" si="4"/>
        <v>-219.56185884351908</v>
      </c>
      <c r="F36" s="1">
        <f t="shared" si="4"/>
        <v>-393.87995719453011</v>
      </c>
      <c r="G36" s="1">
        <f t="shared" si="4"/>
        <v>-305.2681443862466</v>
      </c>
      <c r="H36" s="1">
        <f t="shared" si="4"/>
        <v>-246.54400262369472</v>
      </c>
      <c r="K36" s="1" t="s">
        <v>154</v>
      </c>
      <c r="L36" s="71">
        <f>L20</f>
        <v>4392.6100000000006</v>
      </c>
    </row>
    <row r="37" spans="3:12" x14ac:dyDescent="0.3">
      <c r="C37" s="89" t="s">
        <v>174</v>
      </c>
      <c r="D37" s="1">
        <f>-CFS!D26</f>
        <v>400</v>
      </c>
      <c r="E37" s="1">
        <f>-CFS!E26</f>
        <v>400</v>
      </c>
      <c r="F37" s="1">
        <f>-CFS!F26</f>
        <v>400</v>
      </c>
      <c r="G37" s="1">
        <f>-CFS!G26</f>
        <v>400</v>
      </c>
      <c r="H37" s="1">
        <f>-CFS!H26</f>
        <v>400</v>
      </c>
      <c r="K37" s="80" t="s">
        <v>157</v>
      </c>
      <c r="L37" s="94">
        <f>L34/L36</f>
        <v>60.288128073684774</v>
      </c>
    </row>
    <row r="38" spans="3:12" x14ac:dyDescent="0.3">
      <c r="C38" s="86" t="s">
        <v>145</v>
      </c>
      <c r="D38" s="83">
        <f>D33+D34-D35-D36+D37</f>
        <v>10539.877532260911</v>
      </c>
      <c r="E38" s="83">
        <f t="shared" ref="E38:H38" si="5">E33+E34-E35-E36+E37</f>
        <v>12157.998108247184</v>
      </c>
      <c r="F38" s="83">
        <f t="shared" si="5"/>
        <v>13247.903739352794</v>
      </c>
      <c r="G38" s="83">
        <f t="shared" si="5"/>
        <v>14723.265934783096</v>
      </c>
      <c r="H38" s="83">
        <f t="shared" si="5"/>
        <v>15621.271440053777</v>
      </c>
      <c r="L38" s="66"/>
    </row>
    <row r="39" spans="3:12" ht="15" thickBot="1" x14ac:dyDescent="0.35">
      <c r="C39" s="91" t="s">
        <v>162</v>
      </c>
      <c r="D39" s="84">
        <f>D38/(1+$L$5)^D7</f>
        <v>9748.5735901481439</v>
      </c>
      <c r="E39" s="84">
        <f>E38/(1+$L$5)^E7</f>
        <v>10400.951975036878</v>
      </c>
      <c r="F39" s="84">
        <f>F38/(1+$L$5)^F7</f>
        <v>10482.471570846816</v>
      </c>
      <c r="G39" s="84">
        <f>G38/(1+$L$5)^G7</f>
        <v>10775.221232968699</v>
      </c>
      <c r="H39" s="84">
        <f>H38/(1+$L$5)^H7</f>
        <v>10574.112531455403</v>
      </c>
      <c r="K39" s="12" t="s">
        <v>158</v>
      </c>
      <c r="L39" s="96" t="s">
        <v>262</v>
      </c>
    </row>
    <row r="40" spans="3:12" ht="15" thickTop="1" x14ac:dyDescent="0.3">
      <c r="C40" s="89"/>
      <c r="K40" s="112" t="str">
        <f>K24</f>
        <v>as on 9th Jan,2026</v>
      </c>
      <c r="L40" s="71"/>
    </row>
    <row r="41" spans="3:12" x14ac:dyDescent="0.3">
      <c r="C41" s="89"/>
      <c r="E41" s="134" t="s">
        <v>163</v>
      </c>
      <c r="F41" s="134"/>
      <c r="G41" s="134"/>
      <c r="H41" s="134"/>
      <c r="I41" s="134"/>
      <c r="K41" s="1" t="s">
        <v>159</v>
      </c>
      <c r="L41" s="71" t="str" cm="1">
        <f t="array" ref="L41">IF(L37&gt;Table_8[CMP],"Undervalued","Overvalued")</f>
        <v>Overvalued</v>
      </c>
    </row>
    <row r="42" spans="3:12" x14ac:dyDescent="0.3">
      <c r="C42" s="89"/>
      <c r="E42" s="134" t="s">
        <v>123</v>
      </c>
      <c r="F42" s="134"/>
      <c r="G42" s="134"/>
      <c r="H42" s="134"/>
      <c r="I42" s="134"/>
      <c r="L42" s="71"/>
    </row>
    <row r="43" spans="3:12" x14ac:dyDescent="0.3">
      <c r="C43" s="135" t="s">
        <v>137</v>
      </c>
      <c r="D43" s="95">
        <f>L37</f>
        <v>60.288128073684774</v>
      </c>
      <c r="E43" s="69">
        <v>6.1199999999999997E-2</v>
      </c>
      <c r="F43" s="69">
        <v>7.1199999999999999E-2</v>
      </c>
      <c r="G43" s="69">
        <v>8.1199999999999994E-2</v>
      </c>
      <c r="H43" s="69">
        <v>9.1200000000000003E-2</v>
      </c>
      <c r="I43" s="69">
        <v>0.1012</v>
      </c>
      <c r="L43" s="71"/>
    </row>
    <row r="44" spans="3:12" x14ac:dyDescent="0.3">
      <c r="C44" s="135"/>
      <c r="D44" s="69">
        <v>2.5000000000000001E-2</v>
      </c>
      <c r="E44" s="95">
        <f t="dataTable" ref="E44:I48" dt2D="1" dtr="1" r1="L5" r2="L6"/>
        <v>87.348849062811254</v>
      </c>
      <c r="F44" s="95">
        <v>68.112830924825971</v>
      </c>
      <c r="G44" s="95">
        <v>55.731501379884349</v>
      </c>
      <c r="H44" s="95">
        <v>47.098157407941841</v>
      </c>
      <c r="I44" s="95">
        <v>40.736927904370866</v>
      </c>
      <c r="L44" s="71"/>
    </row>
    <row r="45" spans="3:12" x14ac:dyDescent="0.3">
      <c r="C45" s="135"/>
      <c r="D45" s="69">
        <v>0.03</v>
      </c>
      <c r="E45" s="95">
        <v>99.76284524562638</v>
      </c>
      <c r="F45" s="95">
        <v>75.207665759686122</v>
      </c>
      <c r="G45" s="95">
        <v>60.253530062083151</v>
      </c>
      <c r="H45" s="95">
        <v>50.193700802226132</v>
      </c>
      <c r="I45" s="95">
        <v>42.965691274287813</v>
      </c>
      <c r="L45" s="71"/>
    </row>
    <row r="46" spans="3:12" x14ac:dyDescent="0.3">
      <c r="C46" s="135"/>
      <c r="D46" s="69">
        <v>3.5000000000000003E-2</v>
      </c>
      <c r="E46" s="95">
        <v>116.91500791043202</v>
      </c>
      <c r="F46" s="95">
        <v>84.262399720198246</v>
      </c>
      <c r="G46" s="95">
        <v>65.754352831337968</v>
      </c>
      <c r="H46" s="95">
        <v>53.840052629657094</v>
      </c>
      <c r="I46" s="95">
        <v>45.531125848119707</v>
      </c>
      <c r="L46" s="71"/>
    </row>
    <row r="47" spans="3:12" x14ac:dyDescent="0.3">
      <c r="C47" s="135"/>
      <c r="D47" s="69">
        <v>0.04</v>
      </c>
      <c r="E47" s="95">
        <v>142.15781334165544</v>
      </c>
      <c r="F47" s="95">
        <v>96.219292001387359</v>
      </c>
      <c r="G47" s="95">
        <v>72.590326758178932</v>
      </c>
      <c r="H47" s="95">
        <v>58.198582548383165</v>
      </c>
      <c r="I47" s="95">
        <v>48.515749077806483</v>
      </c>
      <c r="L47" s="66"/>
    </row>
    <row r="48" spans="3:12" x14ac:dyDescent="0.3">
      <c r="C48" s="136"/>
      <c r="D48" s="70">
        <v>4.4999999999999998E-2</v>
      </c>
      <c r="E48" s="97">
        <v>182.98259743412777</v>
      </c>
      <c r="F48" s="97">
        <v>112.73988362654174</v>
      </c>
      <c r="G48" s="97">
        <v>81.314691272544977</v>
      </c>
      <c r="H48" s="97">
        <v>63.50051721142222</v>
      </c>
      <c r="I48" s="97">
        <v>52.031444056547841</v>
      </c>
      <c r="J48" s="98"/>
      <c r="K48" s="98"/>
      <c r="L48" s="99"/>
    </row>
    <row r="50" spans="3:12" x14ac:dyDescent="0.3">
      <c r="C50"/>
      <c r="D50"/>
      <c r="E50"/>
      <c r="F50"/>
      <c r="G50"/>
      <c r="H50"/>
      <c r="I50"/>
      <c r="J50"/>
      <c r="K50"/>
      <c r="L50"/>
    </row>
    <row r="51" spans="3:12" x14ac:dyDescent="0.3">
      <c r="C51"/>
      <c r="D51"/>
      <c r="E51"/>
      <c r="F51"/>
      <c r="G51"/>
      <c r="H51"/>
      <c r="I51"/>
      <c r="J51"/>
      <c r="K51"/>
      <c r="L51"/>
    </row>
    <row r="52" spans="3:12" x14ac:dyDescent="0.3">
      <c r="C52"/>
      <c r="D52"/>
      <c r="E52"/>
      <c r="F52"/>
      <c r="G52"/>
      <c r="H52"/>
      <c r="I52"/>
      <c r="J52"/>
      <c r="K52"/>
      <c r="L52"/>
    </row>
    <row r="53" spans="3:12" x14ac:dyDescent="0.3">
      <c r="C53"/>
      <c r="D53"/>
      <c r="E53"/>
      <c r="F53"/>
      <c r="G53"/>
      <c r="H53"/>
      <c r="I53"/>
      <c r="J53"/>
      <c r="K53"/>
      <c r="L53"/>
    </row>
    <row r="54" spans="3:12" x14ac:dyDescent="0.3">
      <c r="C54"/>
      <c r="D54"/>
      <c r="E54"/>
      <c r="F54"/>
      <c r="G54"/>
      <c r="H54"/>
      <c r="I54"/>
      <c r="J54"/>
      <c r="K54"/>
      <c r="L54"/>
    </row>
    <row r="55" spans="3:12" x14ac:dyDescent="0.3">
      <c r="C55"/>
      <c r="D55"/>
      <c r="E55"/>
      <c r="F55"/>
      <c r="G55"/>
      <c r="H55"/>
      <c r="I55"/>
      <c r="J55"/>
      <c r="K55"/>
      <c r="L55"/>
    </row>
    <row r="56" spans="3:12" x14ac:dyDescent="0.3">
      <c r="L56"/>
    </row>
    <row r="57" spans="3:12" x14ac:dyDescent="0.3">
      <c r="L57"/>
    </row>
    <row r="58" spans="3:12" x14ac:dyDescent="0.3">
      <c r="L58"/>
    </row>
    <row r="59" spans="3:12" x14ac:dyDescent="0.3">
      <c r="L59"/>
    </row>
    <row r="60" spans="3:12" x14ac:dyDescent="0.3">
      <c r="L60"/>
    </row>
    <row r="61" spans="3:12" x14ac:dyDescent="0.3">
      <c r="L61"/>
    </row>
    <row r="62" spans="3:12" x14ac:dyDescent="0.3">
      <c r="L62"/>
    </row>
    <row r="63" spans="3:12" x14ac:dyDescent="0.3">
      <c r="L63"/>
    </row>
    <row r="64" spans="3:12" x14ac:dyDescent="0.3">
      <c r="L64"/>
    </row>
    <row r="65" spans="12:12" x14ac:dyDescent="0.3">
      <c r="L65"/>
    </row>
    <row r="66" spans="12:12" x14ac:dyDescent="0.3">
      <c r="L66"/>
    </row>
    <row r="67" spans="12:12" x14ac:dyDescent="0.3">
      <c r="L67"/>
    </row>
    <row r="68" spans="12:12" x14ac:dyDescent="0.3">
      <c r="L68"/>
    </row>
    <row r="69" spans="12:12" x14ac:dyDescent="0.3">
      <c r="L69"/>
    </row>
    <row r="70" spans="12:12" x14ac:dyDescent="0.3">
      <c r="L70"/>
    </row>
    <row r="71" spans="12:12" x14ac:dyDescent="0.3">
      <c r="L71"/>
    </row>
    <row r="72" spans="12:12" x14ac:dyDescent="0.3">
      <c r="L72"/>
    </row>
    <row r="73" spans="12:12" x14ac:dyDescent="0.3">
      <c r="L73"/>
    </row>
    <row r="74" spans="12:12" x14ac:dyDescent="0.3">
      <c r="L74"/>
    </row>
    <row r="75" spans="12:12" x14ac:dyDescent="0.3">
      <c r="L75"/>
    </row>
    <row r="76" spans="12:12" x14ac:dyDescent="0.3">
      <c r="L76"/>
    </row>
    <row r="77" spans="12:12" x14ac:dyDescent="0.3">
      <c r="L77"/>
    </row>
    <row r="78" spans="12:12" x14ac:dyDescent="0.3">
      <c r="L78"/>
    </row>
    <row r="79" spans="12:12" x14ac:dyDescent="0.3">
      <c r="L79"/>
    </row>
    <row r="80" spans="12:12" x14ac:dyDescent="0.3">
      <c r="L80"/>
    </row>
    <row r="81" spans="12:12" x14ac:dyDescent="0.3">
      <c r="L81"/>
    </row>
    <row r="82" spans="12:12" x14ac:dyDescent="0.3">
      <c r="L82"/>
    </row>
    <row r="83" spans="12:12" x14ac:dyDescent="0.3">
      <c r="L83"/>
    </row>
    <row r="84" spans="12:12" x14ac:dyDescent="0.3">
      <c r="L84"/>
    </row>
    <row r="85" spans="12:12" x14ac:dyDescent="0.3">
      <c r="L85"/>
    </row>
  </sheetData>
  <mergeCells count="10">
    <mergeCell ref="C43:C48"/>
    <mergeCell ref="E41:I41"/>
    <mergeCell ref="E42:I42"/>
    <mergeCell ref="D30:H30"/>
    <mergeCell ref="D10:H10"/>
    <mergeCell ref="K30:L30"/>
    <mergeCell ref="E20:I20"/>
    <mergeCell ref="E21:I21"/>
    <mergeCell ref="C22:C27"/>
    <mergeCell ref="C4:L4"/>
  </mergeCells>
  <pageMargins left="0.25" right="0.25" top="0.75" bottom="0.75" header="0.3" footer="0.3"/>
  <pageSetup scale="82"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92C8-8462-4FDD-8B7C-8F022CCE17A8}">
  <sheetPr>
    <pageSetUpPr fitToPage="1"/>
  </sheetPr>
  <dimension ref="B2:J26"/>
  <sheetViews>
    <sheetView showGridLines="0" zoomScale="110" zoomScaleNormal="110" workbookViewId="0">
      <selection activeCell="L16" sqref="L16"/>
    </sheetView>
  </sheetViews>
  <sheetFormatPr defaultRowHeight="14.4" x14ac:dyDescent="0.3"/>
  <cols>
    <col min="1" max="1" width="1.88671875" customWidth="1"/>
    <col min="2" max="2" width="12.33203125" customWidth="1"/>
    <col min="3" max="3" width="9.77734375" customWidth="1"/>
    <col min="4" max="4" width="9.44140625" customWidth="1"/>
    <col min="5" max="5" width="9.5546875" bestFit="1" customWidth="1"/>
    <col min="6" max="6" width="10.6640625" bestFit="1" customWidth="1"/>
    <col min="7" max="7" width="8.44140625" customWidth="1"/>
    <col min="8" max="8" width="9.33203125" customWidth="1"/>
    <col min="9" max="10" width="9.77734375" customWidth="1"/>
  </cols>
  <sheetData>
    <row r="2" spans="2:10" ht="15.6" x14ac:dyDescent="0.3">
      <c r="B2" s="128" t="s">
        <v>107</v>
      </c>
      <c r="C2" s="128"/>
      <c r="D2" s="128"/>
      <c r="E2" s="128"/>
      <c r="F2" s="128"/>
      <c r="G2" s="128"/>
      <c r="H2" s="128"/>
      <c r="I2" s="128"/>
      <c r="J2" s="128"/>
    </row>
    <row r="4" spans="2:10" x14ac:dyDescent="0.3">
      <c r="B4" s="36" t="s">
        <v>124</v>
      </c>
      <c r="C4" s="36"/>
    </row>
    <row r="6" spans="2:10" x14ac:dyDescent="0.3">
      <c r="B6" s="39" t="s">
        <v>111</v>
      </c>
      <c r="C6" s="39"/>
      <c r="D6" s="38"/>
      <c r="E6" s="38"/>
      <c r="G6" s="39" t="s">
        <v>112</v>
      </c>
      <c r="H6" s="38"/>
      <c r="I6" s="38"/>
      <c r="J6" s="38"/>
    </row>
    <row r="8" spans="2:10" x14ac:dyDescent="0.3">
      <c r="B8" t="s">
        <v>113</v>
      </c>
      <c r="E8" s="40">
        <f>-'P&amp;L'!F12/(BS!F25+BS!F22)</f>
        <v>4.6123470461413747E-2</v>
      </c>
      <c r="G8" t="s">
        <v>114</v>
      </c>
      <c r="J8" s="41">
        <v>4.172E-2</v>
      </c>
    </row>
    <row r="9" spans="2:10" x14ac:dyDescent="0.3">
      <c r="B9" t="s">
        <v>115</v>
      </c>
      <c r="E9" s="42">
        <f>-'P&amp;L'!F15/'P&amp;L'!F14</f>
        <v>0.12583475429668114</v>
      </c>
      <c r="G9" t="s">
        <v>116</v>
      </c>
      <c r="J9" s="41">
        <v>4.4600000000000001E-2</v>
      </c>
    </row>
    <row r="10" spans="2:10" x14ac:dyDescent="0.3">
      <c r="B10" s="43" t="s">
        <v>117</v>
      </c>
      <c r="C10" s="43"/>
      <c r="D10" s="43"/>
      <c r="E10" s="44">
        <f>E8*(1-E9)</f>
        <v>4.0319534888591517E-2</v>
      </c>
      <c r="G10" t="s">
        <v>118</v>
      </c>
      <c r="J10" s="37">
        <f>'Regression Beta'!K15</f>
        <v>0.92111599455593252</v>
      </c>
    </row>
    <row r="11" spans="2:10" x14ac:dyDescent="0.3">
      <c r="G11" s="43" t="s">
        <v>112</v>
      </c>
      <c r="H11" s="43"/>
      <c r="I11" s="43"/>
      <c r="J11" s="44">
        <f>J8+(J9*J10)</f>
        <v>8.2801773357194589E-2</v>
      </c>
    </row>
    <row r="12" spans="2:10" x14ac:dyDescent="0.3">
      <c r="B12" s="100" t="s">
        <v>243</v>
      </c>
    </row>
    <row r="13" spans="2:10" x14ac:dyDescent="0.3">
      <c r="B13" s="6" t="s">
        <v>108</v>
      </c>
      <c r="C13" s="78">
        <f>'P&amp;L'!G22*90.61</f>
        <v>390418.11508294521</v>
      </c>
    </row>
    <row r="14" spans="2:10" x14ac:dyDescent="0.3">
      <c r="B14" s="6" t="s">
        <v>179</v>
      </c>
      <c r="C14" s="78">
        <f>BS!F22+BS!F25</f>
        <v>15582.804</v>
      </c>
    </row>
    <row r="15" spans="2:10" x14ac:dyDescent="0.3">
      <c r="B15" s="79" t="s">
        <v>120</v>
      </c>
      <c r="C15" s="80">
        <f>C13+C14</f>
        <v>406000.91908294521</v>
      </c>
    </row>
    <row r="16" spans="2:10" x14ac:dyDescent="0.3">
      <c r="C16" s="1"/>
    </row>
    <row r="17" spans="2:10" x14ac:dyDescent="0.3">
      <c r="D17" s="39" t="s">
        <v>107</v>
      </c>
      <c r="E17" s="38"/>
      <c r="F17" s="38"/>
      <c r="G17" s="38"/>
      <c r="H17" s="38"/>
    </row>
    <row r="19" spans="2:10" x14ac:dyDescent="0.3">
      <c r="D19" t="s">
        <v>112</v>
      </c>
      <c r="H19" s="42">
        <f>J11</f>
        <v>8.2801773357194589E-2</v>
      </c>
    </row>
    <row r="20" spans="2:10" x14ac:dyDescent="0.3">
      <c r="D20" t="s">
        <v>121</v>
      </c>
      <c r="H20" s="42">
        <f>C13/C15</f>
        <v>0.96161879624509794</v>
      </c>
    </row>
    <row r="22" spans="2:10" x14ac:dyDescent="0.3">
      <c r="D22" t="s">
        <v>111</v>
      </c>
      <c r="H22" s="42">
        <f>E10</f>
        <v>4.0319534888591517E-2</v>
      </c>
    </row>
    <row r="23" spans="2:10" x14ac:dyDescent="0.3">
      <c r="D23" t="s">
        <v>122</v>
      </c>
      <c r="H23" s="42">
        <f>C14/C15</f>
        <v>3.8381203754901998E-2</v>
      </c>
    </row>
    <row r="25" spans="2:10" x14ac:dyDescent="0.3">
      <c r="D25" s="45" t="s">
        <v>123</v>
      </c>
      <c r="E25" s="45"/>
      <c r="F25" s="45"/>
      <c r="G25" s="45"/>
      <c r="H25" s="46">
        <f>(H19*H20)+(H22*H23)</f>
        <v>8.1171253906566793E-2</v>
      </c>
    </row>
    <row r="26" spans="2:10" ht="4.05" customHeight="1" x14ac:dyDescent="0.3">
      <c r="B26" s="64"/>
      <c r="C26" s="64"/>
      <c r="D26" s="64"/>
      <c r="E26" s="64"/>
      <c r="F26" s="64"/>
      <c r="G26" s="64"/>
      <c r="H26" s="64"/>
      <c r="I26" s="64"/>
      <c r="J26" s="64"/>
    </row>
  </sheetData>
  <mergeCells count="1">
    <mergeCell ref="B2:J2"/>
  </mergeCells>
  <pageMargins left="0.25" right="0.25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3E90-3DAE-4D36-BDD0-B4D8F760979C}">
  <sheetPr>
    <pageSetUpPr fitToPage="1"/>
  </sheetPr>
  <dimension ref="B3:N111"/>
  <sheetViews>
    <sheetView showGridLines="0" zoomScale="110" zoomScaleNormal="110" workbookViewId="0">
      <selection activeCell="P7" sqref="P7"/>
    </sheetView>
  </sheetViews>
  <sheetFormatPr defaultRowHeight="14.4" x14ac:dyDescent="0.3"/>
  <cols>
    <col min="1" max="1" width="1.88671875" customWidth="1"/>
    <col min="2" max="2" width="20.21875" bestFit="1" customWidth="1"/>
    <col min="3" max="4" width="10.33203125" bestFit="1" customWidth="1"/>
    <col min="5" max="6" width="1.77734375" customWidth="1"/>
    <col min="7" max="7" width="7" bestFit="1" customWidth="1"/>
    <col min="8" max="8" width="9.88671875" bestFit="1" customWidth="1"/>
    <col min="10" max="10" width="19.21875" bestFit="1" customWidth="1"/>
    <col min="12" max="12" width="1.77734375" customWidth="1"/>
    <col min="13" max="13" width="32.109375" customWidth="1"/>
    <col min="14" max="14" width="47.33203125" bestFit="1" customWidth="1"/>
    <col min="15" max="15" width="12.6640625" bestFit="1" customWidth="1"/>
    <col min="16" max="16" width="12" bestFit="1" customWidth="1"/>
    <col min="17" max="18" width="12.109375" bestFit="1" customWidth="1"/>
  </cols>
  <sheetData>
    <row r="3" spans="2:14" ht="15.6" x14ac:dyDescent="0.3">
      <c r="B3" s="128" t="s">
        <v>245</v>
      </c>
      <c r="C3" s="128"/>
      <c r="D3" s="128"/>
      <c r="E3" s="128"/>
      <c r="F3" s="128"/>
      <c r="G3" s="128"/>
      <c r="H3" s="128"/>
      <c r="I3" s="128"/>
      <c r="J3" s="128"/>
      <c r="K3" s="128"/>
    </row>
    <row r="4" spans="2:14" x14ac:dyDescent="0.3">
      <c r="B4" t="s">
        <v>244</v>
      </c>
      <c r="C4" s="47">
        <v>45292</v>
      </c>
      <c r="D4" s="47">
        <v>46022</v>
      </c>
      <c r="E4" s="47"/>
    </row>
    <row r="6" spans="2:14" x14ac:dyDescent="0.3">
      <c r="C6" s="139" t="s">
        <v>125</v>
      </c>
      <c r="D6" s="139"/>
      <c r="E6" s="7"/>
      <c r="G6" s="139" t="s">
        <v>129</v>
      </c>
      <c r="H6" s="139"/>
    </row>
    <row r="7" spans="2:14" ht="15.6" x14ac:dyDescent="0.3">
      <c r="B7" s="101" t="s">
        <v>126</v>
      </c>
      <c r="C7" s="102" t="s">
        <v>127</v>
      </c>
      <c r="D7" s="102" t="s">
        <v>128</v>
      </c>
      <c r="E7" s="102"/>
      <c r="F7" s="6"/>
      <c r="G7" s="102" t="s">
        <v>127</v>
      </c>
      <c r="H7" s="102" t="s">
        <v>128</v>
      </c>
      <c r="J7" s="128" t="s">
        <v>260</v>
      </c>
      <c r="K7" s="128"/>
      <c r="L7" s="128"/>
      <c r="M7" s="128"/>
      <c r="N7" s="128"/>
    </row>
    <row r="8" spans="2:14" x14ac:dyDescent="0.3">
      <c r="B8" s="48">
        <v>46019</v>
      </c>
      <c r="C8" s="103">
        <v>23241.99</v>
      </c>
      <c r="D8" s="40">
        <f>C8/C9-1</f>
        <v>-1.4881893434944837E-2</v>
      </c>
      <c r="E8" s="49"/>
      <c r="G8" s="104">
        <v>93.76</v>
      </c>
      <c r="H8" s="40">
        <f>G8/G9-1</f>
        <v>-7.5156134222503779E-3</v>
      </c>
      <c r="J8" s="107" t="s">
        <v>261</v>
      </c>
      <c r="K8" s="52">
        <f>SLOPE(H8:H110,$D$8:$D$110)</f>
        <v>0.89482132607457665</v>
      </c>
      <c r="M8" s="108" t="s">
        <v>246</v>
      </c>
      <c r="N8" s="109" t="s">
        <v>247</v>
      </c>
    </row>
    <row r="9" spans="2:14" x14ac:dyDescent="0.3">
      <c r="B9" s="48">
        <v>46012</v>
      </c>
      <c r="C9" s="103">
        <v>23593.1</v>
      </c>
      <c r="D9" s="40">
        <f t="shared" ref="D9:D72" si="0">C9/C10-1</f>
        <v>1.2248354829879737E-2</v>
      </c>
      <c r="E9" s="49"/>
      <c r="G9" s="104">
        <v>94.47</v>
      </c>
      <c r="H9" s="40">
        <f t="shared" ref="H9:H72" si="1">G9/G10-1</f>
        <v>8.4754740968318032E-4</v>
      </c>
      <c r="J9" s="76" t="s">
        <v>135</v>
      </c>
      <c r="K9" s="76"/>
      <c r="M9" s="110" t="s">
        <v>248</v>
      </c>
      <c r="N9" s="111" t="s">
        <v>256</v>
      </c>
    </row>
    <row r="10" spans="2:14" x14ac:dyDescent="0.3">
      <c r="B10" s="48">
        <v>46005</v>
      </c>
      <c r="C10" s="103">
        <v>23307.62</v>
      </c>
      <c r="D10" s="40">
        <f t="shared" si="0"/>
        <v>4.8479920604160842E-3</v>
      </c>
      <c r="E10" s="49"/>
      <c r="G10" s="104">
        <v>94.39</v>
      </c>
      <c r="H10" s="40">
        <f t="shared" si="1"/>
        <v>-8.4042441432923276E-3</v>
      </c>
      <c r="J10" t="s">
        <v>130</v>
      </c>
      <c r="K10" s="37">
        <f>K8</f>
        <v>0.89482132607457665</v>
      </c>
      <c r="M10" s="65" t="s">
        <v>249</v>
      </c>
      <c r="N10" s="105" t="s">
        <v>136</v>
      </c>
    </row>
    <row r="11" spans="2:14" x14ac:dyDescent="0.3">
      <c r="B11" s="48">
        <v>45998</v>
      </c>
      <c r="C11" s="103">
        <v>23195.17</v>
      </c>
      <c r="D11" s="40">
        <f t="shared" si="0"/>
        <v>-1.6242170180586935E-2</v>
      </c>
      <c r="E11" s="49"/>
      <c r="G11" s="104">
        <v>95.19</v>
      </c>
      <c r="H11" s="40">
        <f t="shared" si="1"/>
        <v>-5.0379090183559461E-2</v>
      </c>
      <c r="J11" t="s">
        <v>131</v>
      </c>
      <c r="K11" s="42">
        <v>0.75</v>
      </c>
      <c r="M11" s="65" t="s">
        <v>250</v>
      </c>
      <c r="N11" s="105" t="s">
        <v>257</v>
      </c>
    </row>
    <row r="12" spans="2:14" x14ac:dyDescent="0.3">
      <c r="B12" s="48">
        <v>45991</v>
      </c>
      <c r="C12" s="103">
        <v>23578.13</v>
      </c>
      <c r="D12" s="40">
        <f t="shared" si="0"/>
        <v>9.0919634729385024E-3</v>
      </c>
      <c r="E12" s="49"/>
      <c r="G12" s="104">
        <v>100.24</v>
      </c>
      <c r="H12" s="40">
        <f t="shared" si="1"/>
        <v>-6.822829522216034E-2</v>
      </c>
      <c r="M12" s="65" t="s">
        <v>251</v>
      </c>
      <c r="N12" s="105">
        <v>0.89</v>
      </c>
    </row>
    <row r="13" spans="2:14" x14ac:dyDescent="0.3">
      <c r="B13" s="48">
        <v>45984</v>
      </c>
      <c r="C13" s="103">
        <v>23365.69</v>
      </c>
      <c r="D13" s="40">
        <f t="shared" si="0"/>
        <v>4.9055182309765799E-2</v>
      </c>
      <c r="E13" s="49"/>
      <c r="G13" s="104">
        <v>107.58</v>
      </c>
      <c r="H13" s="40">
        <f t="shared" si="1"/>
        <v>3.1348863963186702E-2</v>
      </c>
      <c r="J13" t="s">
        <v>132</v>
      </c>
      <c r="K13" s="37">
        <v>1</v>
      </c>
      <c r="M13" s="65" t="s">
        <v>258</v>
      </c>
      <c r="N13" s="105">
        <v>0.28000000000000003</v>
      </c>
    </row>
    <row r="14" spans="2:14" x14ac:dyDescent="0.3">
      <c r="B14" s="48">
        <v>45977</v>
      </c>
      <c r="C14" s="103">
        <v>22273.08</v>
      </c>
      <c r="D14" s="40">
        <f t="shared" si="0"/>
        <v>-2.7401477429184085E-2</v>
      </c>
      <c r="E14" s="49"/>
      <c r="G14" s="104">
        <v>104.31</v>
      </c>
      <c r="H14" s="40">
        <f t="shared" si="1"/>
        <v>-6.2129113468800568E-2</v>
      </c>
      <c r="J14" t="s">
        <v>133</v>
      </c>
      <c r="K14" s="42">
        <v>0.25</v>
      </c>
      <c r="M14" s="65" t="s">
        <v>252</v>
      </c>
      <c r="N14" s="105" t="s">
        <v>253</v>
      </c>
    </row>
    <row r="15" spans="2:14" x14ac:dyDescent="0.3">
      <c r="B15" s="48">
        <v>45970</v>
      </c>
      <c r="C15" s="103">
        <v>22900.59</v>
      </c>
      <c r="D15" s="40">
        <f t="shared" si="0"/>
        <v>-4.518673270580531E-3</v>
      </c>
      <c r="E15" s="49"/>
      <c r="G15" s="104">
        <v>111.22</v>
      </c>
      <c r="H15" s="40">
        <f t="shared" si="1"/>
        <v>7.7013681253963462E-3</v>
      </c>
      <c r="J15" s="50" t="s">
        <v>134</v>
      </c>
      <c r="K15" s="51">
        <f>(K10*K11)+(K13*K14)</f>
        <v>0.92111599455593252</v>
      </c>
      <c r="M15" s="65" t="s">
        <v>254</v>
      </c>
      <c r="N15" s="105">
        <v>0.92</v>
      </c>
    </row>
    <row r="16" spans="2:14" x14ac:dyDescent="0.3">
      <c r="B16" s="48">
        <v>45963</v>
      </c>
      <c r="C16" s="103">
        <v>23004.54</v>
      </c>
      <c r="D16" s="40">
        <f t="shared" si="0"/>
        <v>-3.0365488498189208E-2</v>
      </c>
      <c r="E16" s="49"/>
      <c r="G16" s="104">
        <v>110.37</v>
      </c>
      <c r="H16" s="40">
        <f t="shared" si="1"/>
        <v>-1.3584770756993492E-2</v>
      </c>
      <c r="M16" s="67" t="s">
        <v>255</v>
      </c>
      <c r="N16" s="106" t="s">
        <v>259</v>
      </c>
    </row>
    <row r="17" spans="2:8" x14ac:dyDescent="0.3">
      <c r="B17" s="48">
        <v>45956</v>
      </c>
      <c r="C17" s="103">
        <v>23724.959999999999</v>
      </c>
      <c r="D17" s="40">
        <f t="shared" si="0"/>
        <v>2.2412967622744695E-2</v>
      </c>
      <c r="E17" s="49"/>
      <c r="G17" s="104">
        <v>111.89</v>
      </c>
      <c r="H17" s="40">
        <f t="shared" si="1"/>
        <v>2.2106513199963373E-2</v>
      </c>
    </row>
    <row r="18" spans="2:8" x14ac:dyDescent="0.3">
      <c r="B18" s="48">
        <v>45949</v>
      </c>
      <c r="C18" s="103">
        <v>23204.87</v>
      </c>
      <c r="D18" s="40">
        <f t="shared" si="0"/>
        <v>2.314376959052411E-2</v>
      </c>
      <c r="E18" s="49"/>
      <c r="G18" s="104">
        <v>109.47</v>
      </c>
      <c r="H18" s="40">
        <f t="shared" si="1"/>
        <v>-8.7293646823411675E-2</v>
      </c>
    </row>
    <row r="19" spans="2:8" x14ac:dyDescent="0.3">
      <c r="B19" s="48">
        <v>45942</v>
      </c>
      <c r="C19" s="103">
        <v>22679.97</v>
      </c>
      <c r="D19" s="40">
        <f t="shared" si="0"/>
        <v>2.1416447078353329E-2</v>
      </c>
      <c r="E19" s="49"/>
      <c r="G19" s="104">
        <v>119.94</v>
      </c>
      <c r="H19" s="40">
        <f t="shared" si="1"/>
        <v>-1.6965822473567815E-2</v>
      </c>
    </row>
    <row r="20" spans="2:8" x14ac:dyDescent="0.3">
      <c r="B20" s="48">
        <v>45935</v>
      </c>
      <c r="C20" s="103">
        <v>22204.43</v>
      </c>
      <c r="D20" s="40">
        <f t="shared" si="0"/>
        <v>-2.5288283712699977E-2</v>
      </c>
      <c r="E20" s="49"/>
      <c r="G20" s="104">
        <v>122.01</v>
      </c>
      <c r="H20" s="40">
        <f t="shared" si="1"/>
        <v>5.7920749154599882E-2</v>
      </c>
    </row>
    <row r="21" spans="2:8" x14ac:dyDescent="0.3">
      <c r="B21" s="48">
        <v>45928</v>
      </c>
      <c r="C21" s="103">
        <v>22780.51</v>
      </c>
      <c r="D21" s="40">
        <f t="shared" si="0"/>
        <v>1.3184445698665614E-2</v>
      </c>
      <c r="E21" s="49"/>
      <c r="G21" s="104">
        <v>115.33</v>
      </c>
      <c r="H21" s="40">
        <f t="shared" si="1"/>
        <v>-4.73319015364283E-2</v>
      </c>
    </row>
    <row r="22" spans="2:8" x14ac:dyDescent="0.3">
      <c r="B22" s="48">
        <v>45921</v>
      </c>
      <c r="C22" s="103">
        <v>22484.07</v>
      </c>
      <c r="D22" s="40">
        <f t="shared" si="0"/>
        <v>-6.5134935938789829E-3</v>
      </c>
      <c r="E22" s="49"/>
      <c r="G22" s="104">
        <v>121.06</v>
      </c>
      <c r="H22" s="40">
        <f t="shared" si="1"/>
        <v>-1.3365933170334188E-2</v>
      </c>
    </row>
    <row r="23" spans="2:8" x14ac:dyDescent="0.3">
      <c r="B23" s="48">
        <v>45914</v>
      </c>
      <c r="C23" s="103">
        <v>22631.48</v>
      </c>
      <c r="D23" s="40">
        <f t="shared" si="0"/>
        <v>2.2147951095474072E-2</v>
      </c>
      <c r="E23" s="49"/>
      <c r="G23" s="104">
        <v>122.7</v>
      </c>
      <c r="H23" s="40">
        <f t="shared" si="1"/>
        <v>3.2480646247054823E-2</v>
      </c>
    </row>
    <row r="24" spans="2:8" x14ac:dyDescent="0.3">
      <c r="B24" s="48">
        <v>45907</v>
      </c>
      <c r="C24" s="103">
        <v>22141.1</v>
      </c>
      <c r="D24" s="40">
        <f t="shared" si="0"/>
        <v>2.0308851592068189E-2</v>
      </c>
      <c r="E24" s="49"/>
      <c r="G24" s="104">
        <v>118.84</v>
      </c>
      <c r="H24" s="40">
        <f t="shared" si="1"/>
        <v>-4.4540922977970632E-2</v>
      </c>
    </row>
    <row r="25" spans="2:8" x14ac:dyDescent="0.3">
      <c r="B25" s="48">
        <v>45900</v>
      </c>
      <c r="C25" s="103">
        <v>21700.39</v>
      </c>
      <c r="D25" s="40">
        <f t="shared" si="0"/>
        <v>1.1411499588684482E-2</v>
      </c>
      <c r="E25" s="49"/>
      <c r="G25" s="104">
        <v>124.38</v>
      </c>
      <c r="H25" s="40">
        <f t="shared" si="1"/>
        <v>2.9465320311206744E-2</v>
      </c>
    </row>
    <row r="26" spans="2:8" x14ac:dyDescent="0.3">
      <c r="B26" s="48">
        <v>45893</v>
      </c>
      <c r="C26" s="103">
        <v>21455.55</v>
      </c>
      <c r="D26" s="40">
        <f t="shared" si="0"/>
        <v>-1.9068184926505083E-3</v>
      </c>
      <c r="E26" s="49"/>
      <c r="G26" s="104">
        <v>120.82</v>
      </c>
      <c r="H26" s="40">
        <f t="shared" si="1"/>
        <v>2.9885439149925919E-3</v>
      </c>
    </row>
    <row r="27" spans="2:8" x14ac:dyDescent="0.3">
      <c r="B27" s="48">
        <v>45886</v>
      </c>
      <c r="C27" s="103">
        <v>21496.54</v>
      </c>
      <c r="D27" s="40">
        <f t="shared" si="0"/>
        <v>-5.8474826319036E-3</v>
      </c>
      <c r="E27" s="49"/>
      <c r="G27" s="104">
        <v>120.46</v>
      </c>
      <c r="H27" s="40">
        <f t="shared" si="1"/>
        <v>-2.7685850351118035E-2</v>
      </c>
    </row>
    <row r="28" spans="2:8" x14ac:dyDescent="0.3">
      <c r="B28" s="48">
        <v>45879</v>
      </c>
      <c r="C28" s="103">
        <v>21622.98</v>
      </c>
      <c r="D28" s="40">
        <f t="shared" si="0"/>
        <v>8.063395745085522E-3</v>
      </c>
      <c r="E28" s="49"/>
      <c r="G28" s="104">
        <v>123.89</v>
      </c>
      <c r="H28" s="40">
        <f t="shared" si="1"/>
        <v>2.2532188841201783E-2</v>
      </c>
    </row>
    <row r="29" spans="2:8" x14ac:dyDescent="0.3">
      <c r="B29" s="48">
        <v>45872</v>
      </c>
      <c r="C29" s="103">
        <v>21450.02</v>
      </c>
      <c r="D29" s="40">
        <f t="shared" si="0"/>
        <v>3.8735349365839333E-2</v>
      </c>
      <c r="E29" s="49"/>
      <c r="G29" s="104">
        <v>121.16</v>
      </c>
      <c r="H29" s="40">
        <f t="shared" si="1"/>
        <v>4.5744864491627846E-2</v>
      </c>
    </row>
    <row r="30" spans="2:8" x14ac:dyDescent="0.3">
      <c r="B30" s="48">
        <v>45865</v>
      </c>
      <c r="C30" s="103">
        <v>20650.13</v>
      </c>
      <c r="D30" s="40">
        <f t="shared" si="0"/>
        <v>-2.1706606683999374E-2</v>
      </c>
      <c r="E30" s="49"/>
      <c r="G30" s="104">
        <v>115.86</v>
      </c>
      <c r="H30" s="40">
        <f t="shared" si="1"/>
        <v>-1.8551461245235101E-2</v>
      </c>
    </row>
    <row r="31" spans="2:8" x14ac:dyDescent="0.3">
      <c r="B31" s="48">
        <v>45858</v>
      </c>
      <c r="C31" s="103">
        <v>21108.32</v>
      </c>
      <c r="D31" s="40">
        <f t="shared" si="0"/>
        <v>1.0177716414660365E-2</v>
      </c>
      <c r="E31" s="49"/>
      <c r="G31" s="104">
        <v>118.05</v>
      </c>
      <c r="H31" s="40">
        <f t="shared" si="1"/>
        <v>-2.3734700628514793E-2</v>
      </c>
    </row>
    <row r="32" spans="2:8" x14ac:dyDescent="0.3">
      <c r="B32" s="48">
        <v>45851</v>
      </c>
      <c r="C32" s="103">
        <v>20895.650000000001</v>
      </c>
      <c r="D32" s="40">
        <f t="shared" si="0"/>
        <v>1.506495096312821E-2</v>
      </c>
      <c r="E32" s="49"/>
      <c r="G32" s="104">
        <v>120.92</v>
      </c>
      <c r="H32" s="40">
        <f t="shared" si="1"/>
        <v>-2.8833025459802486E-2</v>
      </c>
    </row>
    <row r="33" spans="2:8" x14ac:dyDescent="0.3">
      <c r="B33" s="48">
        <v>45844</v>
      </c>
      <c r="C33" s="103">
        <v>20585.53</v>
      </c>
      <c r="D33" s="40">
        <f t="shared" si="0"/>
        <v>-7.5578488527305865E-4</v>
      </c>
      <c r="E33" s="49"/>
      <c r="G33" s="104">
        <v>124.51</v>
      </c>
      <c r="H33" s="40">
        <f t="shared" si="1"/>
        <v>-4.0163428923835953E-2</v>
      </c>
    </row>
    <row r="34" spans="2:8" x14ac:dyDescent="0.3">
      <c r="B34" s="48">
        <v>45837</v>
      </c>
      <c r="C34" s="103">
        <v>20601.099999999999</v>
      </c>
      <c r="D34" s="40">
        <f t="shared" si="0"/>
        <v>1.6161030233615703E-2</v>
      </c>
      <c r="E34" s="49"/>
      <c r="G34" s="104">
        <v>129.72</v>
      </c>
      <c r="H34" s="40">
        <f t="shared" si="1"/>
        <v>-1.9575239966744817E-2</v>
      </c>
    </row>
    <row r="35" spans="2:8" x14ac:dyDescent="0.3">
      <c r="B35" s="48">
        <v>45830</v>
      </c>
      <c r="C35" s="103">
        <v>20273.46</v>
      </c>
      <c r="D35" s="40">
        <f t="shared" si="0"/>
        <v>4.24760932175543E-2</v>
      </c>
      <c r="E35" s="49"/>
      <c r="G35" s="104">
        <v>132.31</v>
      </c>
      <c r="H35" s="40">
        <f t="shared" si="1"/>
        <v>7.4468085106383031E-2</v>
      </c>
    </row>
    <row r="36" spans="2:8" x14ac:dyDescent="0.3">
      <c r="B36" s="48">
        <v>45823</v>
      </c>
      <c r="C36" s="103">
        <v>19447.41</v>
      </c>
      <c r="D36" s="40">
        <f t="shared" si="0"/>
        <v>2.0910164102019291E-3</v>
      </c>
      <c r="E36" s="49"/>
      <c r="G36" s="104">
        <v>123.14</v>
      </c>
      <c r="H36" s="40">
        <f t="shared" si="1"/>
        <v>1.5922778648626457E-2</v>
      </c>
    </row>
    <row r="37" spans="2:8" x14ac:dyDescent="0.3">
      <c r="B37" s="48">
        <v>45816</v>
      </c>
      <c r="C37" s="103">
        <v>19406.830000000002</v>
      </c>
      <c r="D37" s="40">
        <f t="shared" si="0"/>
        <v>-6.3041636051295313E-3</v>
      </c>
      <c r="E37" s="49"/>
      <c r="G37" s="104">
        <v>121.21</v>
      </c>
      <c r="H37" s="40">
        <f t="shared" si="1"/>
        <v>-2.3681031010874043E-2</v>
      </c>
    </row>
    <row r="38" spans="2:8" x14ac:dyDescent="0.3">
      <c r="B38" s="48">
        <v>45809</v>
      </c>
      <c r="C38" s="103">
        <v>19529.95</v>
      </c>
      <c r="D38" s="40">
        <f t="shared" si="0"/>
        <v>2.1773831117566145E-2</v>
      </c>
      <c r="E38" s="49"/>
      <c r="G38" s="104">
        <v>124.15</v>
      </c>
      <c r="H38" s="40">
        <f t="shared" si="1"/>
        <v>2.8412856196156522E-2</v>
      </c>
    </row>
    <row r="39" spans="2:8" x14ac:dyDescent="0.3">
      <c r="B39" s="48">
        <v>45802</v>
      </c>
      <c r="C39" s="103">
        <v>19113.77</v>
      </c>
      <c r="D39" s="40">
        <f t="shared" si="0"/>
        <v>2.0096908771370048E-2</v>
      </c>
      <c r="E39" s="49"/>
      <c r="G39" s="104">
        <v>120.72</v>
      </c>
      <c r="H39" s="40">
        <f t="shared" si="1"/>
        <v>1.8390416736966397E-2</v>
      </c>
    </row>
    <row r="40" spans="2:8" x14ac:dyDescent="0.3">
      <c r="B40" s="48">
        <v>45795</v>
      </c>
      <c r="C40" s="103">
        <v>18737.21</v>
      </c>
      <c r="D40" s="40">
        <f t="shared" si="0"/>
        <v>-2.4667509929155562E-2</v>
      </c>
      <c r="E40" s="49"/>
      <c r="G40" s="104">
        <v>118.54</v>
      </c>
      <c r="H40" s="40">
        <f t="shared" si="1"/>
        <v>-5.1195971464540468E-3</v>
      </c>
    </row>
    <row r="41" spans="2:8" x14ac:dyDescent="0.3">
      <c r="B41" s="48">
        <v>45788</v>
      </c>
      <c r="C41" s="103">
        <v>19211.099999999999</v>
      </c>
      <c r="D41" s="40">
        <f t="shared" si="0"/>
        <v>7.1514625532380194E-2</v>
      </c>
      <c r="E41" s="49"/>
      <c r="G41" s="104">
        <v>119.15</v>
      </c>
      <c r="H41" s="40">
        <f t="shared" si="1"/>
        <v>4.4992106647956609E-2</v>
      </c>
    </row>
    <row r="42" spans="2:8" x14ac:dyDescent="0.3">
      <c r="B42" s="48">
        <v>45781</v>
      </c>
      <c r="C42" s="103">
        <v>17928.919999999998</v>
      </c>
      <c r="D42" s="40">
        <f t="shared" si="0"/>
        <v>-2.7150257568669955E-3</v>
      </c>
      <c r="E42" s="49"/>
      <c r="G42" s="104">
        <v>114.02</v>
      </c>
      <c r="H42" s="40">
        <f t="shared" si="1"/>
        <v>-1.4094249891915323E-2</v>
      </c>
    </row>
    <row r="43" spans="2:8" x14ac:dyDescent="0.3">
      <c r="B43" s="48">
        <v>45774</v>
      </c>
      <c r="C43" s="103">
        <v>17977.73</v>
      </c>
      <c r="D43" s="40">
        <f t="shared" si="0"/>
        <v>3.4216881609210104E-2</v>
      </c>
      <c r="E43" s="49"/>
      <c r="G43" s="104">
        <v>115.65</v>
      </c>
      <c r="H43" s="40">
        <f t="shared" si="1"/>
        <v>4.9931911030413056E-2</v>
      </c>
    </row>
    <row r="44" spans="2:8" x14ac:dyDescent="0.3">
      <c r="B44" s="48">
        <v>45767</v>
      </c>
      <c r="C44" s="103">
        <v>17382.939999999999</v>
      </c>
      <c r="D44" s="40">
        <f t="shared" si="0"/>
        <v>6.7325291883743699E-2</v>
      </c>
      <c r="E44" s="49"/>
      <c r="G44" s="104">
        <v>110.15</v>
      </c>
      <c r="H44" s="40">
        <f t="shared" si="1"/>
        <v>0.13206577595066804</v>
      </c>
    </row>
    <row r="45" spans="2:8" x14ac:dyDescent="0.3">
      <c r="B45" s="48">
        <v>45760</v>
      </c>
      <c r="C45" s="103">
        <v>16286.45</v>
      </c>
      <c r="D45" s="40">
        <f t="shared" si="0"/>
        <v>-2.6189784303947583E-2</v>
      </c>
      <c r="E45" s="49"/>
      <c r="G45" s="104">
        <v>97.3</v>
      </c>
      <c r="H45" s="40">
        <f t="shared" si="1"/>
        <v>5.9566590438854483E-2</v>
      </c>
    </row>
    <row r="46" spans="2:8" x14ac:dyDescent="0.3">
      <c r="B46" s="48">
        <v>45753</v>
      </c>
      <c r="C46" s="103">
        <v>16724.46</v>
      </c>
      <c r="D46" s="40">
        <f t="shared" si="0"/>
        <v>7.2920535880968362E-2</v>
      </c>
      <c r="E46" s="49"/>
      <c r="G46" s="104">
        <v>91.83</v>
      </c>
      <c r="H46" s="40">
        <f t="shared" si="1"/>
        <v>7.2905713284262097E-2</v>
      </c>
    </row>
    <row r="47" spans="2:8" x14ac:dyDescent="0.3">
      <c r="B47" s="48">
        <v>45746</v>
      </c>
      <c r="C47" s="103">
        <v>15587.79</v>
      </c>
      <c r="D47" s="40">
        <f t="shared" si="0"/>
        <v>-0.10016746531632248</v>
      </c>
      <c r="E47" s="49"/>
      <c r="G47" s="104">
        <v>85.59</v>
      </c>
      <c r="H47" s="40">
        <f t="shared" si="1"/>
        <v>-8.3520719563122348E-2</v>
      </c>
    </row>
    <row r="48" spans="2:8" x14ac:dyDescent="0.3">
      <c r="B48" s="48">
        <v>45739</v>
      </c>
      <c r="C48" s="103">
        <v>17322.990000000002</v>
      </c>
      <c r="D48" s="40">
        <f t="shared" si="0"/>
        <v>-2.5925478167234006E-2</v>
      </c>
      <c r="E48" s="49"/>
      <c r="G48" s="104">
        <v>93.39</v>
      </c>
      <c r="H48" s="40">
        <f t="shared" si="1"/>
        <v>-2.7491408934707917E-2</v>
      </c>
    </row>
    <row r="49" spans="2:8" x14ac:dyDescent="0.3">
      <c r="B49" s="48">
        <v>45732</v>
      </c>
      <c r="C49" s="103">
        <v>17784.05</v>
      </c>
      <c r="D49" s="40">
        <f t="shared" si="0"/>
        <v>1.6874984862642606E-3</v>
      </c>
      <c r="E49" s="49"/>
      <c r="G49" s="104">
        <v>96.03</v>
      </c>
      <c r="H49" s="40">
        <f t="shared" si="1"/>
        <v>4.6078431372549078E-2</v>
      </c>
    </row>
    <row r="50" spans="2:8" x14ac:dyDescent="0.3">
      <c r="B50" s="48">
        <v>45725</v>
      </c>
      <c r="C50" s="103">
        <v>17754.09</v>
      </c>
      <c r="D50" s="40">
        <f t="shared" si="0"/>
        <v>-2.4297903630534301E-2</v>
      </c>
      <c r="E50" s="49"/>
      <c r="G50" s="104">
        <v>91.8</v>
      </c>
      <c r="H50" s="40">
        <f t="shared" si="1"/>
        <v>3.0187408820558925E-2</v>
      </c>
    </row>
    <row r="51" spans="2:8" x14ac:dyDescent="0.3">
      <c r="B51" s="48">
        <v>45718</v>
      </c>
      <c r="C51" s="103">
        <v>18196.22</v>
      </c>
      <c r="D51" s="40">
        <f t="shared" si="0"/>
        <v>-3.4543976637477547E-2</v>
      </c>
      <c r="E51" s="49"/>
      <c r="G51" s="104">
        <v>89.11</v>
      </c>
      <c r="H51" s="40">
        <f t="shared" si="1"/>
        <v>-9.1270650622068183E-2</v>
      </c>
    </row>
    <row r="52" spans="2:8" x14ac:dyDescent="0.3">
      <c r="B52" s="48">
        <v>45711</v>
      </c>
      <c r="C52" s="103">
        <v>18847.28</v>
      </c>
      <c r="D52" s="40">
        <f t="shared" si="0"/>
        <v>-3.4661424574152555E-2</v>
      </c>
      <c r="E52" s="49"/>
      <c r="G52" s="104">
        <v>98.06</v>
      </c>
      <c r="H52" s="40">
        <f t="shared" si="1"/>
        <v>-2.2527910685805286E-2</v>
      </c>
    </row>
    <row r="53" spans="2:8" x14ac:dyDescent="0.3">
      <c r="B53" s="48">
        <v>45704</v>
      </c>
      <c r="C53" s="103">
        <v>19524.009999999998</v>
      </c>
      <c r="D53" s="40">
        <f t="shared" si="0"/>
        <v>-2.5104397763593522E-2</v>
      </c>
      <c r="E53" s="49"/>
      <c r="G53" s="104">
        <v>100.32</v>
      </c>
      <c r="H53" s="40">
        <f t="shared" si="1"/>
        <v>-5.2333270357075468E-2</v>
      </c>
    </row>
    <row r="54" spans="2:8" x14ac:dyDescent="0.3">
      <c r="B54" s="48">
        <v>45697</v>
      </c>
      <c r="C54" s="103">
        <v>20026.77</v>
      </c>
      <c r="D54" s="40">
        <f t="shared" si="0"/>
        <v>2.5782906665847038E-2</v>
      </c>
      <c r="E54" s="49"/>
      <c r="G54" s="104">
        <v>105.86</v>
      </c>
      <c r="H54" s="40">
        <f t="shared" si="1"/>
        <v>4.4087188085609963E-2</v>
      </c>
    </row>
    <row r="55" spans="2:8" x14ac:dyDescent="0.3">
      <c r="B55" s="48">
        <v>45690</v>
      </c>
      <c r="C55" s="103">
        <v>19523.400000000001</v>
      </c>
      <c r="D55" s="40">
        <f t="shared" si="0"/>
        <v>-5.30074222618937E-3</v>
      </c>
      <c r="E55" s="49"/>
      <c r="G55" s="104">
        <v>101.39</v>
      </c>
      <c r="H55" s="40">
        <f t="shared" si="1"/>
        <v>3.798116298116283E-2</v>
      </c>
    </row>
    <row r="56" spans="2:8" x14ac:dyDescent="0.3">
      <c r="B56" s="48">
        <v>45683</v>
      </c>
      <c r="C56" s="103">
        <v>19627.439999999999</v>
      </c>
      <c r="D56" s="40">
        <f t="shared" si="0"/>
        <v>-1.6380429280906883E-2</v>
      </c>
      <c r="E56" s="49"/>
      <c r="G56" s="104">
        <v>97.68</v>
      </c>
      <c r="H56" s="40">
        <f t="shared" si="1"/>
        <v>-8.1833060556457671E-4</v>
      </c>
    </row>
    <row r="57" spans="2:8" x14ac:dyDescent="0.3">
      <c r="B57" s="48">
        <v>45676</v>
      </c>
      <c r="C57" s="103">
        <v>19954.3</v>
      </c>
      <c r="D57" s="40">
        <f t="shared" si="0"/>
        <v>1.6510274984462558E-2</v>
      </c>
      <c r="E57" s="49"/>
      <c r="G57" s="104">
        <v>97.76</v>
      </c>
      <c r="H57" s="40">
        <f t="shared" si="1"/>
        <v>0.13926115837315001</v>
      </c>
    </row>
    <row r="58" spans="2:8" x14ac:dyDescent="0.3">
      <c r="B58" s="48">
        <v>45669</v>
      </c>
      <c r="C58" s="103">
        <v>19630.2</v>
      </c>
      <c r="D58" s="40">
        <f t="shared" si="0"/>
        <v>2.4453556404126386E-2</v>
      </c>
      <c r="E58" s="49"/>
      <c r="G58" s="104">
        <v>85.81</v>
      </c>
      <c r="H58" s="40">
        <f t="shared" si="1"/>
        <v>2.4352393458278776E-2</v>
      </c>
    </row>
    <row r="59" spans="2:8" x14ac:dyDescent="0.3">
      <c r="B59" s="48">
        <v>45662</v>
      </c>
      <c r="C59" s="103">
        <v>19161.63</v>
      </c>
      <c r="D59" s="40">
        <f t="shared" si="0"/>
        <v>-2.3446004623457251E-2</v>
      </c>
      <c r="E59" s="49"/>
      <c r="G59" s="104">
        <v>83.77</v>
      </c>
      <c r="H59" s="40">
        <f t="shared" si="1"/>
        <v>-4.9256611054363852E-2</v>
      </c>
    </row>
    <row r="60" spans="2:8" x14ac:dyDescent="0.3">
      <c r="B60" s="48">
        <v>45655</v>
      </c>
      <c r="C60" s="103">
        <v>19621.68</v>
      </c>
      <c r="D60" s="40">
        <f t="shared" si="0"/>
        <v>-5.0882186062995993E-3</v>
      </c>
      <c r="E60" s="49"/>
      <c r="G60" s="104">
        <v>88.11</v>
      </c>
      <c r="H60" s="40">
        <f t="shared" si="1"/>
        <v>-2.9090909090909056E-2</v>
      </c>
    </row>
    <row r="61" spans="2:8" x14ac:dyDescent="0.3">
      <c r="B61" s="48">
        <v>45648</v>
      </c>
      <c r="C61" s="103">
        <v>19722.03</v>
      </c>
      <c r="D61" s="40">
        <f t="shared" si="0"/>
        <v>7.634652524447505E-3</v>
      </c>
      <c r="E61" s="49"/>
      <c r="G61" s="104">
        <v>90.75</v>
      </c>
      <c r="H61" s="40">
        <f t="shared" si="1"/>
        <v>-1.6501650165017256E-3</v>
      </c>
    </row>
    <row r="62" spans="2:8" x14ac:dyDescent="0.3">
      <c r="B62" s="48">
        <v>45641</v>
      </c>
      <c r="C62" s="103">
        <v>19572.599999999999</v>
      </c>
      <c r="D62" s="40">
        <f t="shared" si="0"/>
        <v>-1.7771113359348778E-2</v>
      </c>
      <c r="E62" s="49"/>
      <c r="G62" s="104">
        <v>90.9</v>
      </c>
      <c r="H62" s="40">
        <f t="shared" si="1"/>
        <v>-1.0773751224289807E-2</v>
      </c>
    </row>
    <row r="63" spans="2:8" x14ac:dyDescent="0.3">
      <c r="B63" s="48">
        <v>45634</v>
      </c>
      <c r="C63" s="103">
        <v>19926.72</v>
      </c>
      <c r="D63" s="40">
        <f t="shared" si="0"/>
        <v>3.3711367251483271E-3</v>
      </c>
      <c r="E63" s="49"/>
      <c r="G63" s="104">
        <v>91.89</v>
      </c>
      <c r="H63" s="40">
        <f t="shared" si="1"/>
        <v>-1.6903819407296461E-2</v>
      </c>
    </row>
    <row r="64" spans="2:8" x14ac:dyDescent="0.3">
      <c r="B64" s="48">
        <v>45627</v>
      </c>
      <c r="C64" s="103">
        <v>19859.77</v>
      </c>
      <c r="D64" s="40">
        <f t="shared" si="0"/>
        <v>3.3385072564141138E-2</v>
      </c>
      <c r="E64" s="49"/>
      <c r="G64" s="104">
        <v>93.47</v>
      </c>
      <c r="H64" s="40">
        <f t="shared" si="1"/>
        <v>5.401443391971128E-2</v>
      </c>
    </row>
    <row r="65" spans="2:8" x14ac:dyDescent="0.3">
      <c r="B65" s="48">
        <v>45620</v>
      </c>
      <c r="C65" s="103">
        <v>19218.169999999998</v>
      </c>
      <c r="D65" s="40">
        <f t="shared" si="0"/>
        <v>1.1288357762850643E-2</v>
      </c>
      <c r="E65" s="49"/>
      <c r="G65" s="104">
        <v>88.68</v>
      </c>
      <c r="H65" s="40">
        <f t="shared" si="1"/>
        <v>-1.2252171975941084E-2</v>
      </c>
    </row>
    <row r="66" spans="2:8" x14ac:dyDescent="0.3">
      <c r="B66" s="48">
        <v>45613</v>
      </c>
      <c r="C66" s="103">
        <v>19003.650000000001</v>
      </c>
      <c r="D66" s="40">
        <f t="shared" si="0"/>
        <v>1.7319481887696719E-2</v>
      </c>
      <c r="E66" s="49"/>
      <c r="G66" s="104">
        <v>89.78</v>
      </c>
      <c r="H66" s="40">
        <f t="shared" si="1"/>
        <v>8.9563106796116454E-2</v>
      </c>
    </row>
    <row r="67" spans="2:8" x14ac:dyDescent="0.3">
      <c r="B67" s="48">
        <v>45606</v>
      </c>
      <c r="C67" s="103">
        <v>18680.12</v>
      </c>
      <c r="D67" s="40">
        <f t="shared" si="0"/>
        <v>-3.1454706280675149E-2</v>
      </c>
      <c r="E67" s="49"/>
      <c r="G67" s="104">
        <v>82.4</v>
      </c>
      <c r="H67" s="40">
        <f t="shared" si="1"/>
        <v>3.647798742138364E-2</v>
      </c>
    </row>
    <row r="68" spans="2:8" x14ac:dyDescent="0.3">
      <c r="B68" s="48">
        <v>45599</v>
      </c>
      <c r="C68" s="103">
        <v>19286.78</v>
      </c>
      <c r="D68" s="40">
        <f t="shared" si="0"/>
        <v>5.7393892078474007E-2</v>
      </c>
      <c r="E68" s="49"/>
      <c r="G68" s="104">
        <v>79.5</v>
      </c>
      <c r="H68" s="40">
        <f t="shared" si="1"/>
        <v>5.1448221134770433E-2</v>
      </c>
    </row>
    <row r="69" spans="2:8" x14ac:dyDescent="0.3">
      <c r="B69" s="48">
        <v>45592</v>
      </c>
      <c r="C69" s="103">
        <v>18239.919999999998</v>
      </c>
      <c r="D69" s="40">
        <f t="shared" si="0"/>
        <v>-1.5049185657022957E-2</v>
      </c>
      <c r="E69" s="49"/>
      <c r="G69" s="104">
        <v>75.61</v>
      </c>
      <c r="H69" s="40">
        <f t="shared" si="1"/>
        <v>1.8550417384390894E-3</v>
      </c>
    </row>
    <row r="70" spans="2:8" x14ac:dyDescent="0.3">
      <c r="B70" s="48">
        <v>45585</v>
      </c>
      <c r="C70" s="103">
        <v>18518.61</v>
      </c>
      <c r="D70" s="40">
        <f t="shared" si="0"/>
        <v>1.5716986081326656E-3</v>
      </c>
      <c r="E70" s="49"/>
      <c r="G70" s="104">
        <v>75.47</v>
      </c>
      <c r="H70" s="40">
        <f t="shared" si="1"/>
        <v>-1.2043461186019178E-2</v>
      </c>
    </row>
    <row r="71" spans="2:8" x14ac:dyDescent="0.3">
      <c r="B71" s="48">
        <v>45578</v>
      </c>
      <c r="C71" s="103">
        <v>18489.55</v>
      </c>
      <c r="D71" s="40">
        <f t="shared" si="0"/>
        <v>7.9927209051549042E-3</v>
      </c>
      <c r="E71" s="49"/>
      <c r="G71" s="104">
        <v>76.39</v>
      </c>
      <c r="H71" s="40">
        <f t="shared" si="1"/>
        <v>5.6862202545655771E-2</v>
      </c>
    </row>
    <row r="72" spans="2:8" x14ac:dyDescent="0.3">
      <c r="B72" s="48">
        <v>45571</v>
      </c>
      <c r="C72" s="103">
        <v>18342.939999999999</v>
      </c>
      <c r="D72" s="40">
        <f t="shared" si="0"/>
        <v>1.1307293863385137E-2</v>
      </c>
      <c r="E72" s="49"/>
      <c r="G72" s="104">
        <v>72.28</v>
      </c>
      <c r="H72" s="40">
        <f t="shared" si="1"/>
        <v>4.3073502848409717E-3</v>
      </c>
    </row>
    <row r="73" spans="2:8" x14ac:dyDescent="0.3">
      <c r="B73" s="48">
        <v>45564</v>
      </c>
      <c r="C73" s="103">
        <v>18137.849999999999</v>
      </c>
      <c r="D73" s="40">
        <f t="shared" ref="D73:D110" si="2">C73/C74-1</f>
        <v>1.0077490715849624E-3</v>
      </c>
      <c r="E73" s="49"/>
      <c r="G73" s="104">
        <v>71.97</v>
      </c>
      <c r="H73" s="40">
        <f t="shared" ref="H73:H110" si="3">G73/G74-1</f>
        <v>1.7387616624257918E-2</v>
      </c>
    </row>
    <row r="74" spans="2:8" x14ac:dyDescent="0.3">
      <c r="B74" s="48">
        <v>45557</v>
      </c>
      <c r="C74" s="103">
        <v>18119.59</v>
      </c>
      <c r="D74" s="40">
        <f t="shared" si="2"/>
        <v>9.5423972828654335E-3</v>
      </c>
      <c r="E74" s="49"/>
      <c r="G74" s="104">
        <v>70.739999999999995</v>
      </c>
      <c r="H74" s="40">
        <f t="shared" si="3"/>
        <v>9.1298145506419903E-3</v>
      </c>
    </row>
    <row r="75" spans="2:8" x14ac:dyDescent="0.3">
      <c r="B75" s="48">
        <v>45550</v>
      </c>
      <c r="C75" s="103">
        <v>17948.32</v>
      </c>
      <c r="D75" s="40">
        <f t="shared" si="2"/>
        <v>1.4947992476806782E-2</v>
      </c>
      <c r="E75" s="49"/>
      <c r="G75" s="104">
        <v>70.099999999999994</v>
      </c>
      <c r="H75" s="40">
        <f t="shared" si="3"/>
        <v>5.5946062257925533E-3</v>
      </c>
    </row>
    <row r="76" spans="2:8" x14ac:dyDescent="0.3">
      <c r="B76" s="48">
        <v>45543</v>
      </c>
      <c r="C76" s="103">
        <v>17683.98</v>
      </c>
      <c r="D76" s="40">
        <f t="shared" si="2"/>
        <v>5.9502732937786629E-2</v>
      </c>
      <c r="E76" s="49"/>
      <c r="G76" s="104">
        <v>69.709999999999994</v>
      </c>
      <c r="H76" s="40">
        <f t="shared" si="3"/>
        <v>4.7011114448783253E-2</v>
      </c>
    </row>
    <row r="77" spans="2:8" x14ac:dyDescent="0.3">
      <c r="B77" s="48">
        <v>45536</v>
      </c>
      <c r="C77" s="103">
        <v>16690.830000000002</v>
      </c>
      <c r="D77" s="40">
        <f t="shared" si="2"/>
        <v>-5.774031507958266E-2</v>
      </c>
      <c r="E77" s="49"/>
      <c r="G77" s="104">
        <v>66.58</v>
      </c>
      <c r="H77" s="40">
        <f t="shared" si="3"/>
        <v>-5.075563159395502E-2</v>
      </c>
    </row>
    <row r="78" spans="2:8" x14ac:dyDescent="0.3">
      <c r="B78" s="48">
        <v>45529</v>
      </c>
      <c r="C78" s="103">
        <v>17713.62</v>
      </c>
      <c r="D78" s="40">
        <f t="shared" si="2"/>
        <v>-9.1829023609742988E-3</v>
      </c>
      <c r="E78" s="49"/>
      <c r="G78" s="104">
        <v>70.14</v>
      </c>
      <c r="H78" s="40">
        <f t="shared" si="3"/>
        <v>2.1406727828746197E-2</v>
      </c>
    </row>
    <row r="79" spans="2:8" x14ac:dyDescent="0.3">
      <c r="B79" s="48">
        <v>45522</v>
      </c>
      <c r="C79" s="103">
        <v>17877.79</v>
      </c>
      <c r="D79" s="40">
        <f t="shared" si="2"/>
        <v>1.3956097306445425E-2</v>
      </c>
      <c r="E79" s="49"/>
      <c r="G79" s="104">
        <v>68.67</v>
      </c>
      <c r="H79" s="40">
        <f t="shared" si="3"/>
        <v>1.8691588785046731E-2</v>
      </c>
    </row>
    <row r="80" spans="2:8" x14ac:dyDescent="0.3">
      <c r="B80" s="48">
        <v>45515</v>
      </c>
      <c r="C80" s="103">
        <v>17631.72</v>
      </c>
      <c r="D80" s="40">
        <f t="shared" si="2"/>
        <v>5.2935450544332019E-2</v>
      </c>
      <c r="E80" s="49"/>
      <c r="G80" s="104">
        <v>67.41</v>
      </c>
      <c r="H80" s="40">
        <f t="shared" si="3"/>
        <v>6.3416942735447179E-2</v>
      </c>
    </row>
    <row r="81" spans="2:8" x14ac:dyDescent="0.3">
      <c r="B81" s="48">
        <v>45508</v>
      </c>
      <c r="C81" s="103">
        <v>16745.3</v>
      </c>
      <c r="D81" s="40">
        <f t="shared" si="2"/>
        <v>-1.8395151214580796E-3</v>
      </c>
      <c r="E81" s="49"/>
      <c r="G81" s="104">
        <v>63.39</v>
      </c>
      <c r="H81" s="40">
        <f t="shared" si="3"/>
        <v>3.3083441981747175E-2</v>
      </c>
    </row>
    <row r="82" spans="2:8" x14ac:dyDescent="0.3">
      <c r="B82" s="48">
        <v>45501</v>
      </c>
      <c r="C82" s="103">
        <v>16776.16</v>
      </c>
      <c r="D82" s="40">
        <f t="shared" si="2"/>
        <v>-3.3513309229007304E-2</v>
      </c>
      <c r="E82" s="49"/>
      <c r="G82" s="104">
        <v>61.36</v>
      </c>
      <c r="H82" s="40">
        <f t="shared" si="3"/>
        <v>-2.8191320874247694E-2</v>
      </c>
    </row>
    <row r="83" spans="2:8" x14ac:dyDescent="0.3">
      <c r="B83" s="48">
        <v>45494</v>
      </c>
      <c r="C83" s="103">
        <v>17357.88</v>
      </c>
      <c r="D83" s="40">
        <f t="shared" si="2"/>
        <v>-2.0819159990387415E-2</v>
      </c>
      <c r="E83" s="49"/>
      <c r="G83" s="104">
        <v>63.14</v>
      </c>
      <c r="H83" s="40">
        <f t="shared" si="3"/>
        <v>-3.0001579030475289E-3</v>
      </c>
    </row>
    <row r="84" spans="2:8" x14ac:dyDescent="0.3">
      <c r="B84" s="48">
        <v>45487</v>
      </c>
      <c r="C84" s="103">
        <v>17726.939999999999</v>
      </c>
      <c r="D84" s="40">
        <f t="shared" si="2"/>
        <v>-3.6498183270873508E-2</v>
      </c>
      <c r="E84" s="49"/>
      <c r="G84" s="104">
        <v>63.33</v>
      </c>
      <c r="H84" s="40">
        <f t="shared" si="3"/>
        <v>-2.2081531809759247E-2</v>
      </c>
    </row>
    <row r="85" spans="2:8" x14ac:dyDescent="0.3">
      <c r="B85" s="48">
        <v>45480</v>
      </c>
      <c r="C85" s="103">
        <v>18398.45</v>
      </c>
      <c r="D85" s="40">
        <f t="shared" si="2"/>
        <v>2.4895438070351439E-3</v>
      </c>
      <c r="E85" s="49"/>
      <c r="G85" s="104">
        <v>64.760000000000005</v>
      </c>
      <c r="H85" s="40">
        <f t="shared" si="3"/>
        <v>-6.2400463298103226E-2</v>
      </c>
    </row>
    <row r="86" spans="2:8" x14ac:dyDescent="0.3">
      <c r="B86" s="48">
        <v>45473</v>
      </c>
      <c r="C86" s="103">
        <v>18352.759999999998</v>
      </c>
      <c r="D86" s="40">
        <f t="shared" si="2"/>
        <v>3.4972874818131494E-2</v>
      </c>
      <c r="E86" s="49"/>
      <c r="G86" s="104">
        <v>69.069999999999993</v>
      </c>
      <c r="H86" s="40">
        <f t="shared" si="3"/>
        <v>2.3410875685286658E-2</v>
      </c>
    </row>
    <row r="87" spans="2:8" x14ac:dyDescent="0.3">
      <c r="B87" s="48">
        <v>45466</v>
      </c>
      <c r="C87" s="103">
        <v>17732.599999999999</v>
      </c>
      <c r="D87" s="40">
        <f t="shared" si="2"/>
        <v>2.4444072595051214E-3</v>
      </c>
      <c r="E87" s="49"/>
      <c r="G87" s="104">
        <v>67.489999999999995</v>
      </c>
      <c r="H87" s="40">
        <f t="shared" si="3"/>
        <v>-1.6324150998396791E-2</v>
      </c>
    </row>
    <row r="88" spans="2:8" x14ac:dyDescent="0.3">
      <c r="B88" s="48">
        <v>45459</v>
      </c>
      <c r="C88" s="103">
        <v>17689.36</v>
      </c>
      <c r="D88" s="40">
        <f t="shared" si="2"/>
        <v>2.7135692028057434E-5</v>
      </c>
      <c r="E88" s="49"/>
      <c r="G88" s="104">
        <v>68.61</v>
      </c>
      <c r="H88" s="40">
        <f t="shared" si="3"/>
        <v>2.4947714371078566E-2</v>
      </c>
    </row>
    <row r="89" spans="2:8" x14ac:dyDescent="0.3">
      <c r="B89" s="48">
        <v>45452</v>
      </c>
      <c r="C89" s="103">
        <v>17688.88</v>
      </c>
      <c r="D89" s="40">
        <f t="shared" si="2"/>
        <v>3.2437155382583294E-2</v>
      </c>
      <c r="E89" s="49"/>
      <c r="G89" s="104">
        <v>66.94</v>
      </c>
      <c r="H89" s="40">
        <f t="shared" si="3"/>
        <v>4.3491816056118404E-2</v>
      </c>
    </row>
    <row r="90" spans="2:8" x14ac:dyDescent="0.3">
      <c r="B90" s="48">
        <v>45445</v>
      </c>
      <c r="C90" s="103">
        <v>17133.13</v>
      </c>
      <c r="D90" s="40">
        <f t="shared" si="2"/>
        <v>2.3789036403900399E-2</v>
      </c>
      <c r="E90" s="49"/>
      <c r="G90" s="104">
        <v>64.150000000000006</v>
      </c>
      <c r="H90" s="40">
        <f t="shared" si="3"/>
        <v>-1.5586034912706825E-4</v>
      </c>
    </row>
    <row r="91" spans="2:8" x14ac:dyDescent="0.3">
      <c r="B91" s="48">
        <v>45438</v>
      </c>
      <c r="C91" s="103">
        <v>16735.02</v>
      </c>
      <c r="D91" s="40">
        <f t="shared" si="2"/>
        <v>-1.0978801817172812E-2</v>
      </c>
      <c r="E91" s="49"/>
      <c r="G91" s="104">
        <v>64.16</v>
      </c>
      <c r="H91" s="40">
        <f t="shared" si="3"/>
        <v>-8.0395794681510369E-3</v>
      </c>
    </row>
    <row r="92" spans="2:8" x14ac:dyDescent="0.3">
      <c r="B92" s="48">
        <v>45431</v>
      </c>
      <c r="C92" s="103">
        <v>16920.79</v>
      </c>
      <c r="D92" s="40">
        <f t="shared" si="2"/>
        <v>1.4072900766332497E-2</v>
      </c>
      <c r="E92" s="49"/>
      <c r="G92" s="104">
        <v>64.680000000000007</v>
      </c>
      <c r="H92" s="40">
        <f t="shared" si="3"/>
        <v>4.1378199967799123E-2</v>
      </c>
    </row>
    <row r="93" spans="2:8" x14ac:dyDescent="0.3">
      <c r="B93" s="48">
        <v>45424</v>
      </c>
      <c r="C93" s="103">
        <v>16685.97</v>
      </c>
      <c r="D93" s="40">
        <f t="shared" si="2"/>
        <v>2.1118826598583773E-2</v>
      </c>
      <c r="E93" s="49"/>
      <c r="G93" s="104">
        <v>62.11</v>
      </c>
      <c r="H93" s="40">
        <f t="shared" si="3"/>
        <v>1.6696677033884333E-2</v>
      </c>
    </row>
    <row r="94" spans="2:8" x14ac:dyDescent="0.3">
      <c r="B94" s="48">
        <v>45417</v>
      </c>
      <c r="C94" s="103">
        <v>16340.87</v>
      </c>
      <c r="D94" s="40">
        <f t="shared" si="2"/>
        <v>1.1422148470599414E-2</v>
      </c>
      <c r="E94" s="49"/>
      <c r="G94" s="104">
        <v>61.09</v>
      </c>
      <c r="H94" s="40">
        <f t="shared" si="3"/>
        <v>5.4548593129639222E-2</v>
      </c>
    </row>
    <row r="95" spans="2:8" x14ac:dyDescent="0.3">
      <c r="B95" s="48">
        <v>45410</v>
      </c>
      <c r="C95" s="103">
        <v>16156.33</v>
      </c>
      <c r="D95" s="40">
        <f t="shared" si="2"/>
        <v>1.4341501390641609E-2</v>
      </c>
      <c r="E95" s="49"/>
      <c r="G95" s="104">
        <v>57.93</v>
      </c>
      <c r="H95" s="40">
        <f t="shared" si="3"/>
        <v>3.22523164647186E-2</v>
      </c>
    </row>
    <row r="96" spans="2:8" x14ac:dyDescent="0.3">
      <c r="B96" s="48">
        <v>45403</v>
      </c>
      <c r="C96" s="103">
        <v>15927.9</v>
      </c>
      <c r="D96" s="40">
        <f t="shared" si="2"/>
        <v>4.226472826545713E-2</v>
      </c>
      <c r="E96" s="49"/>
      <c r="G96" s="104">
        <v>56.12</v>
      </c>
      <c r="H96" s="40">
        <f t="shared" si="3"/>
        <v>1.1171171171171057E-2</v>
      </c>
    </row>
    <row r="97" spans="2:8" x14ac:dyDescent="0.3">
      <c r="B97" s="48">
        <v>45396</v>
      </c>
      <c r="C97" s="103">
        <v>15282.01</v>
      </c>
      <c r="D97" s="40">
        <f t="shared" si="2"/>
        <v>-5.521329402185704E-2</v>
      </c>
      <c r="E97" s="49"/>
      <c r="G97" s="104">
        <v>55.5</v>
      </c>
      <c r="H97" s="40">
        <f t="shared" si="3"/>
        <v>-0.10886319845857417</v>
      </c>
    </row>
    <row r="98" spans="2:8" x14ac:dyDescent="0.3">
      <c r="B98" s="48">
        <v>45389</v>
      </c>
      <c r="C98" s="103">
        <v>16175.09</v>
      </c>
      <c r="D98" s="40">
        <f t="shared" si="2"/>
        <v>-4.519180823853497E-3</v>
      </c>
      <c r="E98" s="49"/>
      <c r="G98" s="104">
        <v>62.28</v>
      </c>
      <c r="H98" s="40">
        <f t="shared" si="3"/>
        <v>-2.1062558943728327E-2</v>
      </c>
    </row>
    <row r="99" spans="2:8" x14ac:dyDescent="0.3">
      <c r="B99" s="48">
        <v>45382</v>
      </c>
      <c r="C99" s="103">
        <v>16248.52</v>
      </c>
      <c r="D99" s="40">
        <f t="shared" si="2"/>
        <v>-7.9941585375830071E-3</v>
      </c>
      <c r="E99" s="49"/>
      <c r="G99" s="104">
        <v>63.62</v>
      </c>
      <c r="H99" s="40">
        <f t="shared" si="3"/>
        <v>4.7587683187880758E-2</v>
      </c>
    </row>
    <row r="100" spans="2:8" x14ac:dyDescent="0.3">
      <c r="B100" s="48">
        <v>45375</v>
      </c>
      <c r="C100" s="103">
        <v>16379.46</v>
      </c>
      <c r="D100" s="40">
        <f t="shared" si="2"/>
        <v>-3.004476280098034E-3</v>
      </c>
      <c r="E100" s="49"/>
      <c r="G100" s="104">
        <v>60.73</v>
      </c>
      <c r="H100" s="40">
        <f t="shared" si="3"/>
        <v>-3.2961783439490411E-2</v>
      </c>
    </row>
    <row r="101" spans="2:8" x14ac:dyDescent="0.3">
      <c r="B101" s="48">
        <v>45368</v>
      </c>
      <c r="C101" s="103">
        <v>16428.82</v>
      </c>
      <c r="D101" s="40">
        <f t="shared" si="2"/>
        <v>2.8525959468283402E-2</v>
      </c>
      <c r="E101" s="49"/>
      <c r="G101" s="104">
        <v>62.8</v>
      </c>
      <c r="H101" s="40">
        <f t="shared" si="3"/>
        <v>3.6474665786433214E-2</v>
      </c>
    </row>
    <row r="102" spans="2:8" x14ac:dyDescent="0.3">
      <c r="B102" s="48">
        <v>45361</v>
      </c>
      <c r="C102" s="103">
        <v>15973.17</v>
      </c>
      <c r="D102" s="40">
        <f t="shared" si="2"/>
        <v>-6.9592312393262912E-3</v>
      </c>
      <c r="E102" s="49"/>
      <c r="G102" s="104">
        <v>60.59</v>
      </c>
      <c r="H102" s="40">
        <f t="shared" si="3"/>
        <v>1.8187830687832474E-3</v>
      </c>
    </row>
    <row r="103" spans="2:8" x14ac:dyDescent="0.3">
      <c r="B103" s="48">
        <v>45354</v>
      </c>
      <c r="C103" s="103">
        <v>16085.11</v>
      </c>
      <c r="D103" s="40">
        <f t="shared" si="2"/>
        <v>-1.1663944690425865E-2</v>
      </c>
      <c r="E103" s="49"/>
      <c r="G103" s="104">
        <v>60.48</v>
      </c>
      <c r="H103" s="40">
        <f t="shared" si="3"/>
        <v>-2.3413531406426658E-2</v>
      </c>
    </row>
    <row r="104" spans="2:8" x14ac:dyDescent="0.3">
      <c r="B104" s="48">
        <v>45347</v>
      </c>
      <c r="C104" s="103">
        <v>16274.94</v>
      </c>
      <c r="D104" s="40">
        <f t="shared" si="2"/>
        <v>1.7385955458647517E-2</v>
      </c>
      <c r="E104" s="49"/>
      <c r="G104" s="104">
        <v>61.93</v>
      </c>
      <c r="H104" s="40">
        <f t="shared" si="3"/>
        <v>6.1172035640849831E-2</v>
      </c>
    </row>
    <row r="105" spans="2:8" x14ac:dyDescent="0.3">
      <c r="B105" s="48">
        <v>45340</v>
      </c>
      <c r="C105" s="103">
        <v>15996.82</v>
      </c>
      <c r="D105" s="40">
        <f t="shared" si="2"/>
        <v>1.4019707587326069E-2</v>
      </c>
      <c r="E105" s="49"/>
      <c r="G105" s="104">
        <v>58.36</v>
      </c>
      <c r="H105" s="40">
        <f t="shared" si="3"/>
        <v>-6.8493150684934001E-4</v>
      </c>
    </row>
    <row r="106" spans="2:8" x14ac:dyDescent="0.3">
      <c r="B106" s="48">
        <v>45333</v>
      </c>
      <c r="C106" s="103">
        <v>15775.65</v>
      </c>
      <c r="D106" s="40">
        <f t="shared" si="2"/>
        <v>-1.3445974087373469E-2</v>
      </c>
      <c r="E106" s="49"/>
      <c r="G106" s="104">
        <v>58.4</v>
      </c>
      <c r="H106" s="40">
        <f t="shared" si="3"/>
        <v>4.044183146267577E-2</v>
      </c>
    </row>
    <row r="107" spans="2:8" x14ac:dyDescent="0.3">
      <c r="B107" s="48">
        <v>45326</v>
      </c>
      <c r="C107" s="103">
        <v>15990.66</v>
      </c>
      <c r="D107" s="40">
        <f t="shared" si="2"/>
        <v>2.3143589300624656E-2</v>
      </c>
      <c r="E107" s="49"/>
      <c r="G107" s="104">
        <v>56.13</v>
      </c>
      <c r="H107" s="40">
        <f t="shared" si="3"/>
        <v>-5.8448459086077875E-3</v>
      </c>
    </row>
    <row r="108" spans="2:8" x14ac:dyDescent="0.3">
      <c r="B108" s="48">
        <v>45319</v>
      </c>
      <c r="C108" s="103">
        <v>15628.95</v>
      </c>
      <c r="D108" s="40">
        <f t="shared" si="2"/>
        <v>1.1231702140875433E-2</v>
      </c>
      <c r="E108" s="49"/>
      <c r="G108" s="104">
        <v>56.46</v>
      </c>
      <c r="H108" s="40">
        <f t="shared" si="3"/>
        <v>-1.0168302945301466E-2</v>
      </c>
    </row>
    <row r="109" spans="2:8" x14ac:dyDescent="0.3">
      <c r="B109" s="48">
        <v>45312</v>
      </c>
      <c r="C109" s="103">
        <v>15455.36</v>
      </c>
      <c r="D109" s="40">
        <f t="shared" si="2"/>
        <v>9.4304932999020874E-3</v>
      </c>
      <c r="E109" s="49"/>
      <c r="G109" s="104">
        <v>57.04</v>
      </c>
      <c r="H109" s="40">
        <f t="shared" si="3"/>
        <v>0.18119693518326785</v>
      </c>
    </row>
    <row r="110" spans="2:8" x14ac:dyDescent="0.3">
      <c r="B110" s="48">
        <v>45305</v>
      </c>
      <c r="C110" s="103">
        <v>15310.97</v>
      </c>
      <c r="D110" s="40">
        <f t="shared" si="2"/>
        <v>2.2588353783804749E-2</v>
      </c>
      <c r="E110" s="49"/>
      <c r="G110" s="104">
        <v>48.29</v>
      </c>
      <c r="H110" s="40">
        <f t="shared" si="3"/>
        <v>-1.8894758228362396E-2</v>
      </c>
    </row>
    <row r="111" spans="2:8" x14ac:dyDescent="0.3">
      <c r="B111" s="48">
        <v>45298</v>
      </c>
      <c r="C111" s="103">
        <v>14972.76</v>
      </c>
      <c r="D111" s="40"/>
      <c r="E111" s="49"/>
      <c r="G111" s="104">
        <v>49.22</v>
      </c>
      <c r="H111" s="40"/>
    </row>
  </sheetData>
  <mergeCells count="4">
    <mergeCell ref="C6:D6"/>
    <mergeCell ref="G6:H6"/>
    <mergeCell ref="B3:K3"/>
    <mergeCell ref="J7:N7"/>
  </mergeCells>
  <conditionalFormatting sqref="D8:E110">
    <cfRule type="cellIs" dxfId="3" priority="9" operator="lessThan">
      <formula>0</formula>
    </cfRule>
    <cfRule type="cellIs" dxfId="2" priority="10" operator="greaterThan">
      <formula>0</formula>
    </cfRule>
  </conditionalFormatting>
  <conditionalFormatting sqref="H8:H111">
    <cfRule type="cellIs" dxfId="1" priority="7" operator="lessThan">
      <formula>0</formula>
    </cfRule>
    <cfRule type="cellIs" dxfId="0" priority="8" operator="greaterThan">
      <formula>0</formula>
    </cfRule>
  </conditionalFormatting>
  <pageMargins left="0.25" right="0.25" top="0.75" bottom="0.75" header="0.3" footer="0.3"/>
  <pageSetup scale="4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FEC3-89A9-4D39-BF99-5248D4805780}">
  <dimension ref="B3:N33"/>
  <sheetViews>
    <sheetView showGridLines="0" zoomScale="110" zoomScaleNormal="110" workbookViewId="0">
      <selection activeCell="D26" sqref="D26"/>
    </sheetView>
  </sheetViews>
  <sheetFormatPr defaultRowHeight="14.4" x14ac:dyDescent="0.3"/>
  <cols>
    <col min="1" max="1" width="1.88671875" customWidth="1"/>
    <col min="2" max="2" width="25.109375" bestFit="1" customWidth="1"/>
    <col min="3" max="3" width="10.33203125" bestFit="1" customWidth="1"/>
  </cols>
  <sheetData>
    <row r="3" spans="2:14" x14ac:dyDescent="0.3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2:14" x14ac:dyDescent="0.3">
      <c r="B4" s="57" t="s">
        <v>138</v>
      </c>
      <c r="C4" s="58">
        <v>2021</v>
      </c>
      <c r="D4" s="58">
        <v>2022</v>
      </c>
      <c r="E4" s="58">
        <v>2023</v>
      </c>
      <c r="F4" s="58">
        <v>2024</v>
      </c>
      <c r="G4" s="59">
        <v>2025</v>
      </c>
      <c r="H4" s="59">
        <v>2026</v>
      </c>
      <c r="I4" s="59">
        <v>2027</v>
      </c>
      <c r="J4" s="59">
        <v>2028</v>
      </c>
      <c r="K4" s="59">
        <v>2029</v>
      </c>
      <c r="L4" s="75" t="s">
        <v>189</v>
      </c>
      <c r="M4" s="75" t="s">
        <v>190</v>
      </c>
      <c r="N4" s="75" t="s">
        <v>110</v>
      </c>
    </row>
    <row r="6" spans="2:14" x14ac:dyDescent="0.3">
      <c r="B6" t="s">
        <v>191</v>
      </c>
      <c r="C6" s="40"/>
      <c r="D6" s="40">
        <f>'P&amp;L'!D5/'P&amp;L'!C5-1</f>
        <v>6.45739131769969E-2</v>
      </c>
      <c r="E6" s="40">
        <f>'P&amp;L'!E5/'P&amp;L'!D5-1</f>
        <v>6.6668047843545297E-2</v>
      </c>
      <c r="F6" s="40">
        <f>'P&amp;L'!F5/'P&amp;L'!E5-1</f>
        <v>0.15649919994477424</v>
      </c>
      <c r="G6" s="40">
        <f>'P&amp;L'!G5/'P&amp;L'!F5-1</f>
        <v>0.15616098652940003</v>
      </c>
      <c r="H6" s="40">
        <f>'P&amp;L'!H5/'P&amp;L'!G5-1</f>
        <v>0.12000000000000011</v>
      </c>
      <c r="I6" s="40">
        <f>'P&amp;L'!I5/'P&amp;L'!H5-1</f>
        <v>9.000000000000008E-2</v>
      </c>
      <c r="J6" s="40">
        <f>'P&amp;L'!J5/'P&amp;L'!I5-1</f>
        <v>8.0000000000000071E-2</v>
      </c>
      <c r="K6" s="40">
        <f>'P&amp;L'!K5/'P&amp;L'!J5-1</f>
        <v>8.0000000000000071E-2</v>
      </c>
      <c r="M6" s="73">
        <f>IFERROR(AVERAGE(C6:K6),0)</f>
        <v>0.1017377684368396</v>
      </c>
      <c r="N6" s="73">
        <f>IFERROR(MEDIAN(C6:K6),0)</f>
        <v>8.5000000000000075E-2</v>
      </c>
    </row>
    <row r="7" spans="2:14" x14ac:dyDescent="0.3">
      <c r="B7" t="s">
        <v>192</v>
      </c>
      <c r="C7" s="40"/>
      <c r="D7" s="40">
        <f>('P&amp;L'!D10+Assumptions!D48+Assumptions!D49)/('P&amp;L'!C10+Assumptions!C48+Assumptions!C49)-1</f>
        <v>7.3114149258037386E-2</v>
      </c>
      <c r="E7" s="40">
        <f>('P&amp;L'!E10+Assumptions!E48+Assumptions!E49)/('P&amp;L'!D10+Assumptions!D48+Assumptions!D49)-1</f>
        <v>7.5653573565644283E-2</v>
      </c>
      <c r="F7" s="40">
        <f>('P&amp;L'!F10+Assumptions!F48+Assumptions!F49)/('P&amp;L'!E10+Assumptions!E48+Assumptions!E49)-1</f>
        <v>0.21106454891294235</v>
      </c>
      <c r="G7" s="40">
        <f>('P&amp;L'!G10+Assumptions!G48+Assumptions!G49)/('P&amp;L'!F10+Assumptions!F48+Assumptions!F49)-1</f>
        <v>0.15206965677933937</v>
      </c>
      <c r="H7" s="40">
        <f>('P&amp;L'!H10+Assumptions!H48+Assumptions!H49)/('P&amp;L'!G10+Assumptions!G48+Assumptions!G49)-1</f>
        <v>0.13873547602239689</v>
      </c>
      <c r="I7" s="40">
        <f>('P&amp;L'!I10+Assumptions!I48+Assumptions!I49)/('P&amp;L'!H10+Assumptions!H48+Assumptions!H49)-1</f>
        <v>9.6189079380366804E-2</v>
      </c>
      <c r="J7" s="40">
        <f>('P&amp;L'!J10+Assumptions!J48+Assumptions!J49)/('P&amp;L'!I10+Assumptions!I48+Assumptions!I49)-1</f>
        <v>8.4493943790149295E-2</v>
      </c>
      <c r="K7" s="40">
        <f>('P&amp;L'!K10+Assumptions!K48+Assumptions!K49)/('P&amp;L'!J10+Assumptions!J48+Assumptions!J49)-1</f>
        <v>7.9391584256715664E-2</v>
      </c>
      <c r="M7" s="73">
        <f t="shared" ref="M7:M22" si="0">IFERROR(AVERAGE(C7:K7),0)</f>
        <v>0.113839001495699</v>
      </c>
      <c r="N7" s="73">
        <f t="shared" ref="N7:N23" si="1">IFERROR(MEDIAN(C7:K7),0)</f>
        <v>9.034151158525805E-2</v>
      </c>
    </row>
    <row r="8" spans="2:14" x14ac:dyDescent="0.3">
      <c r="B8" t="s">
        <v>193</v>
      </c>
      <c r="C8" s="40"/>
      <c r="D8" s="40">
        <f>'P&amp;L'!D14/'P&amp;L'!C14-1</f>
        <v>-9.8658191473678158E-2</v>
      </c>
      <c r="E8" s="40">
        <f>'P&amp;L'!E14/'P&amp;L'!D14-1</f>
        <v>0.17885423606587425</v>
      </c>
      <c r="F8" s="40">
        <f>'P&amp;L'!F14/'P&amp;L'!E14-1</f>
        <v>0.60596399429207226</v>
      </c>
      <c r="G8" s="40">
        <f>'P&amp;L'!G14/'P&amp;L'!F14-1</f>
        <v>0.41692339935234712</v>
      </c>
      <c r="H8" s="40">
        <f>'P&amp;L'!H14/'P&amp;L'!G14-1</f>
        <v>0.22382935821242333</v>
      </c>
      <c r="I8" s="40">
        <f>'P&amp;L'!I14/'P&amp;L'!H14-1</f>
        <v>8.6144218381832838E-2</v>
      </c>
      <c r="J8" s="40">
        <f>'P&amp;L'!J14/'P&amp;L'!I14-1</f>
        <v>5.0409626019911613E-2</v>
      </c>
      <c r="K8" s="40">
        <f>'P&amp;L'!K14/'P&amp;L'!J14-1</f>
        <v>9.2452093810499569E-2</v>
      </c>
      <c r="M8" s="73">
        <f t="shared" si="0"/>
        <v>0.19448984183266035</v>
      </c>
      <c r="N8" s="73">
        <f t="shared" si="1"/>
        <v>0.13565316493818691</v>
      </c>
    </row>
    <row r="9" spans="2:14" x14ac:dyDescent="0.3">
      <c r="B9" t="s">
        <v>194</v>
      </c>
      <c r="C9" s="40"/>
      <c r="D9" s="40">
        <f>'P&amp;L'!D16/'P&amp;L'!C16-1</f>
        <v>-0.12202427256955761</v>
      </c>
      <c r="E9" s="40">
        <f>'P&amp;L'!E16/'P&amp;L'!D16-1</f>
        <v>0.20393621975794818</v>
      </c>
      <c r="F9" s="40">
        <f>'P&amp;L'!F16/'P&amp;L'!E16-1</f>
        <v>0.61088149201459263</v>
      </c>
      <c r="G9" s="40">
        <f>'P&amp;L'!G16/'P&amp;L'!F16-1</f>
        <v>0.41692339935234712</v>
      </c>
      <c r="H9" s="40">
        <f>'P&amp;L'!H16/'P&amp;L'!G16-1</f>
        <v>0.22382935821242333</v>
      </c>
      <c r="I9" s="40">
        <f>'P&amp;L'!I16/'P&amp;L'!H16-1</f>
        <v>8.6144218381832838E-2</v>
      </c>
      <c r="J9" s="40">
        <f>'P&amp;L'!J16/'P&amp;L'!I16-1</f>
        <v>5.0409626019911613E-2</v>
      </c>
      <c r="K9" s="40">
        <f>'P&amp;L'!K16/'P&amp;L'!J16-1</f>
        <v>9.2452093810499569E-2</v>
      </c>
      <c r="M9" s="73">
        <f t="shared" si="0"/>
        <v>0.1953190168724997</v>
      </c>
      <c r="N9" s="73">
        <f t="shared" si="1"/>
        <v>0.14819415678422387</v>
      </c>
    </row>
    <row r="10" spans="2:14" x14ac:dyDescent="0.3">
      <c r="M10" s="73"/>
      <c r="N10" s="73"/>
    </row>
    <row r="11" spans="2:14" x14ac:dyDescent="0.3">
      <c r="B11" t="s">
        <v>176</v>
      </c>
      <c r="C11" s="40">
        <f>'P&amp;L'!C10/'P&amp;L'!C5</f>
        <v>0.20858446828665414</v>
      </c>
      <c r="D11" s="40">
        <f>'P&amp;L'!D10/'P&amp;L'!D5</f>
        <v>0.17816647187855339</v>
      </c>
      <c r="E11" s="40">
        <f>'P&amp;L'!E10/'P&amp;L'!E5</f>
        <v>0.20620768485358951</v>
      </c>
      <c r="F11" s="40">
        <f>'P&amp;L'!F10/'P&amp;L'!F5</f>
        <v>0.2671116915411787</v>
      </c>
      <c r="G11" s="40">
        <f>'P&amp;L'!G10/'P&amp;L'!G5</f>
        <v>0.32360776473026603</v>
      </c>
      <c r="H11" s="40">
        <f>'P&amp;L'!H10/'P&amp;L'!H5</f>
        <v>0.35111510763776316</v>
      </c>
      <c r="I11" s="40">
        <f>'P&amp;L'!I10/'P&amp;L'!I5</f>
        <v>0.34884718344052484</v>
      </c>
      <c r="J11" s="40">
        <f>'P&amp;L'!J10/'P&amp;L'!J5</f>
        <v>0.33857337848029873</v>
      </c>
      <c r="K11" s="40">
        <f>'P&amp;L'!K10/'P&amp;L'!K5</f>
        <v>0.34159457452215292</v>
      </c>
      <c r="M11" s="73">
        <f t="shared" si="0"/>
        <v>0.28486759170788684</v>
      </c>
      <c r="N11" s="73">
        <f t="shared" si="1"/>
        <v>0.32360776473026603</v>
      </c>
    </row>
    <row r="12" spans="2:14" x14ac:dyDescent="0.3">
      <c r="B12" t="s">
        <v>195</v>
      </c>
      <c r="C12" s="40">
        <f>('P&amp;L'!C10+Assumptions!C48+Assumptions!C49)/'P&amp;L'!C5</f>
        <v>0.6274289810398358</v>
      </c>
      <c r="D12" s="40">
        <f>('P&amp;L'!D10+Assumptions!D48+Assumptions!D49)/'P&amp;L'!D5</f>
        <v>0.63246234843297044</v>
      </c>
      <c r="E12" s="40">
        <f>('P&amp;L'!E10+Assumptions!E48+Assumptions!E49)/'P&amp;L'!E5</f>
        <v>0.63779016031558255</v>
      </c>
      <c r="F12" s="40">
        <f>('P&amp;L'!F10+Assumptions!F48+Assumptions!F49)/'P&amp;L'!F5</f>
        <v>0.66788204681904539</v>
      </c>
      <c r="G12" s="40">
        <f>('P&amp;L'!G10+Assumptions!G48+Assumptions!G49)/'P&amp;L'!G5</f>
        <v>0.6655185994103201</v>
      </c>
      <c r="H12" s="40">
        <f>('P&amp;L'!H10+Assumptions!H48+Assumptions!H49)/'P&amp;L'!H5</f>
        <v>0.67665146348327665</v>
      </c>
      <c r="I12" s="40">
        <f>('P&amp;L'!I10+Assumptions!I48+Assumptions!I49)/'P&amp;L'!I5</f>
        <v>0.68049352735514756</v>
      </c>
      <c r="J12" s="40">
        <f>('P&amp;L'!J10+Assumptions!J48+Assumptions!J49)/'P&amp;L'!J5</f>
        <v>0.68332510111579059</v>
      </c>
      <c r="K12" s="40">
        <f>('P&amp;L'!K10+Assumptions!K48+Assumptions!K49)/'P&amp;L'!K5</f>
        <v>0.68294015134791997</v>
      </c>
      <c r="M12" s="73">
        <f t="shared" si="0"/>
        <v>0.6616102643688766</v>
      </c>
      <c r="N12" s="73">
        <f t="shared" si="1"/>
        <v>0.66788204681904539</v>
      </c>
    </row>
    <row r="13" spans="2:14" x14ac:dyDescent="0.3">
      <c r="B13" t="s">
        <v>196</v>
      </c>
      <c r="C13" s="40">
        <f>'P&amp;L'!C10/'P&amp;L'!C5</f>
        <v>0.20858446828665414</v>
      </c>
      <c r="D13" s="40">
        <f>'P&amp;L'!D10/'P&amp;L'!D5</f>
        <v>0.17816647187855339</v>
      </c>
      <c r="E13" s="40">
        <f>'P&amp;L'!E10/'P&amp;L'!E5</f>
        <v>0.20620768485358951</v>
      </c>
      <c r="F13" s="40">
        <f>'P&amp;L'!F10/'P&amp;L'!F5</f>
        <v>0.2671116915411787</v>
      </c>
      <c r="G13" s="40">
        <f>'P&amp;L'!G10/'P&amp;L'!G5</f>
        <v>0.32360776473026603</v>
      </c>
      <c r="H13" s="40">
        <f>'P&amp;L'!H10/'P&amp;L'!H5</f>
        <v>0.35111510763776316</v>
      </c>
      <c r="I13" s="40">
        <f>'P&amp;L'!I10/'P&amp;L'!I5</f>
        <v>0.34884718344052484</v>
      </c>
      <c r="J13" s="40">
        <f>'P&amp;L'!J10/'P&amp;L'!J5</f>
        <v>0.33857337848029873</v>
      </c>
      <c r="K13" s="40">
        <f>'P&amp;L'!K10/'P&amp;L'!K5</f>
        <v>0.34159457452215292</v>
      </c>
      <c r="M13" s="73">
        <f t="shared" si="0"/>
        <v>0.28486759170788684</v>
      </c>
      <c r="N13" s="73">
        <f t="shared" si="1"/>
        <v>0.32360776473026603</v>
      </c>
    </row>
    <row r="14" spans="2:14" x14ac:dyDescent="0.3">
      <c r="B14" t="s">
        <v>197</v>
      </c>
      <c r="C14" s="40">
        <f>'P&amp;L'!C14/'P&amp;L'!C5</f>
        <v>0.19665074003351898</v>
      </c>
      <c r="D14" s="40">
        <f>'P&amp;L'!D14/'P&amp;L'!D5</f>
        <v>0.16649809982745831</v>
      </c>
      <c r="E14" s="40">
        <f>'P&amp;L'!E14/'P&amp;L'!E5</f>
        <v>0.18400944012087553</v>
      </c>
      <c r="F14" s="40">
        <f>'P&amp;L'!F14/'P&amp;L'!F5</f>
        <v>0.25552333755015189</v>
      </c>
      <c r="G14" s="40">
        <f>'P&amp;L'!G14/'P&amp;L'!G5</f>
        <v>0.31315448304673593</v>
      </c>
      <c r="H14" s="40">
        <f>'P&amp;L'!H14/'P&amp;L'!H5</f>
        <v>0.34218540179324108</v>
      </c>
      <c r="I14" s="40">
        <f>'P&amp;L'!I14/'P&amp;L'!I5</f>
        <v>0.34097495024990204</v>
      </c>
      <c r="J14" s="40">
        <f>'P&amp;L'!J14/'P&amp;L'!J5</f>
        <v>0.33163274997607178</v>
      </c>
      <c r="K14" s="40">
        <f>'P&amp;L'!K14/'P&amp;L'!K5</f>
        <v>0.33545638156249397</v>
      </c>
      <c r="M14" s="73">
        <f t="shared" si="0"/>
        <v>0.27400950935116103</v>
      </c>
      <c r="N14" s="73">
        <f t="shared" si="1"/>
        <v>0.31315448304673593</v>
      </c>
    </row>
    <row r="15" spans="2:14" x14ac:dyDescent="0.3">
      <c r="B15" t="s">
        <v>198</v>
      </c>
      <c r="C15" s="40">
        <f>'P&amp;L'!C16/'P&amp;L'!C5</f>
        <v>0.17227607499049433</v>
      </c>
      <c r="D15" s="40">
        <f>'P&amp;L'!D16/'P&amp;L'!D5</f>
        <v>0.14207957792921519</v>
      </c>
      <c r="E15" s="40">
        <f>'P&amp;L'!E16/'P&amp;L'!E5</f>
        <v>0.16036362043723071</v>
      </c>
      <c r="F15" s="40">
        <f>'P&amp;L'!F16/'P&amp;L'!F5</f>
        <v>0.22336962115246062</v>
      </c>
      <c r="G15" s="40">
        <f>'P&amp;L'!G16/'P&amp;L'!G5</f>
        <v>0.27374876561564571</v>
      </c>
      <c r="H15" s="40">
        <f>'P&amp;L'!H16/'P&amp;L'!H5</f>
        <v>0.29912658583467744</v>
      </c>
      <c r="I15" s="40">
        <f>'P&amp;L'!I16/'P&amp;L'!I5</f>
        <v>0.29806845116388253</v>
      </c>
      <c r="J15" s="40">
        <f>'P&amp;L'!J16/'P&amp;L'!J5</f>
        <v>0.28990182436610012</v>
      </c>
      <c r="K15" s="40">
        <f>'P&amp;L'!K16/'P&amp;L'!K5</f>
        <v>0.2932443102113238</v>
      </c>
      <c r="M15" s="73">
        <f t="shared" si="0"/>
        <v>0.23913098130011448</v>
      </c>
      <c r="N15" s="73">
        <f t="shared" si="1"/>
        <v>0.27374876561564571</v>
      </c>
    </row>
    <row r="16" spans="2:14" x14ac:dyDescent="0.3">
      <c r="M16" s="73"/>
      <c r="N16" s="73"/>
    </row>
    <row r="17" spans="2:14" x14ac:dyDescent="0.3">
      <c r="B17" t="s">
        <v>209</v>
      </c>
      <c r="C17" s="40">
        <f>SUM('P&amp;L'!C7:C9)/'P&amp;L'!C5</f>
        <v>0.20778114397799385</v>
      </c>
      <c r="D17" s="40">
        <f>SUM('P&amp;L'!D7:D9)/'P&amp;L'!D5</f>
        <v>0.21554058050547908</v>
      </c>
      <c r="E17" s="40">
        <f>SUM('P&amp;L'!E7:E9)/'P&amp;L'!E5</f>
        <v>0.20917071068110571</v>
      </c>
      <c r="F17" s="40">
        <f>SUM('P&amp;L'!F7:F9)/'P&amp;L'!F5</f>
        <v>0.19345387496299452</v>
      </c>
      <c r="G17" s="40">
        <f>SUM('P&amp;L'!G7:G9)/'P&amp;L'!G5</f>
        <v>0.18235886227343173</v>
      </c>
      <c r="H17" s="40">
        <f>SUM('P&amp;L'!H7:H9)/'P&amp;L'!H5</f>
        <v>0.17439283236695569</v>
      </c>
      <c r="I17" s="40">
        <f>SUM('P&amp;L'!I7:I9)/'P&amp;L'!I5</f>
        <v>0.17131111022303053</v>
      </c>
      <c r="J17" s="40">
        <f>SUM('P&amp;L'!J7:J9)/'P&amp;L'!J5</f>
        <v>0.16969047810775995</v>
      </c>
      <c r="K17" s="40">
        <f>SUM('P&amp;L'!K7:K9)/'P&amp;L'!K5</f>
        <v>0.16799534223600815</v>
      </c>
      <c r="M17" s="73">
        <f t="shared" si="0"/>
        <v>0.18796610392608434</v>
      </c>
      <c r="N17" s="73">
        <f t="shared" si="1"/>
        <v>0.18235886227343173</v>
      </c>
    </row>
    <row r="18" spans="2:14" x14ac:dyDescent="0.3">
      <c r="B18" t="s">
        <v>199</v>
      </c>
      <c r="C18" s="40">
        <f>SUM(Assumptions!C48:C49)/'P&amp;L'!C5</f>
        <v>0.41884451275318169</v>
      </c>
      <c r="D18" s="40">
        <f>SUM(Assumptions!D48:D49)/'P&amp;L'!D5</f>
        <v>0.45429587655441706</v>
      </c>
      <c r="E18" s="40">
        <f>SUM(Assumptions!E48:E49)/'P&amp;L'!E5</f>
        <v>0.43158247546199296</v>
      </c>
      <c r="F18" s="40">
        <f>SUM(Assumptions!F48:F49)/'P&amp;L'!F5</f>
        <v>0.4007703552778667</v>
      </c>
      <c r="G18" s="40">
        <f>SUM(Assumptions!G48:G49)/'P&amp;L'!G5</f>
        <v>0.34191083468005407</v>
      </c>
      <c r="H18" s="40">
        <f>SUM(Assumptions!H48:H49)/'P&amp;L'!H5</f>
        <v>0.32553635584551344</v>
      </c>
      <c r="I18" s="40">
        <f>SUM(Assumptions!I48:I49)/'P&amp;L'!I5</f>
        <v>0.33164634391462272</v>
      </c>
      <c r="J18" s="40">
        <f>SUM(Assumptions!J48:J49)/'P&amp;L'!J5</f>
        <v>0.34475172263549192</v>
      </c>
      <c r="K18" s="40">
        <f>SUM(Assumptions!K48:K49)/'P&amp;L'!K5</f>
        <v>0.34134557682576705</v>
      </c>
      <c r="M18" s="73">
        <f>IFERROR(AVERAGE(C18:K18),0)</f>
        <v>0.37674267266098976</v>
      </c>
      <c r="N18" s="73">
        <f>IFERROR(MEDIAN(C18:K18),0)</f>
        <v>0.34475172263549192</v>
      </c>
    </row>
    <row r="19" spans="2:14" x14ac:dyDescent="0.3">
      <c r="M19" s="73"/>
      <c r="N19" s="73"/>
    </row>
    <row r="20" spans="2:14" x14ac:dyDescent="0.3">
      <c r="B20" t="s">
        <v>177</v>
      </c>
      <c r="C20" s="40">
        <f>'P&amp;L'!C10/SUM(BS!C28+BS!C25)</f>
        <v>0.33094510400967908</v>
      </c>
      <c r="D20" s="40">
        <f>'P&amp;L'!D10/SUM(BS!D28+BS!D25)</f>
        <v>0.29661033148002036</v>
      </c>
      <c r="E20" s="40">
        <f>'P&amp;L'!E10/SUM(BS!E28+BS!E25)</f>
        <v>0.36052419386405093</v>
      </c>
      <c r="F20" s="40">
        <f>'P&amp;L'!F10/SUM(BS!F28+BS!F25)</f>
        <v>0.51956938480815185</v>
      </c>
      <c r="G20" s="40">
        <f>'P&amp;L'!G10/SUM(BS!G28+BS!G25)</f>
        <v>0.68075452777626377</v>
      </c>
      <c r="H20" s="40">
        <f>'P&amp;L'!H10/SUM(BS!H28+BS!H25)</f>
        <v>0.84298557391439999</v>
      </c>
      <c r="I20" s="40">
        <f>'P&amp;L'!I10/SUM(BS!I28+BS!I25)</f>
        <v>0.93061578781537202</v>
      </c>
      <c r="J20" s="40">
        <f>'P&amp;L'!J10/SUM(BS!J28+BS!J25)</f>
        <v>0.99474794683928192</v>
      </c>
      <c r="K20" s="40">
        <f>'P&amp;L'!K10/SUM(BS!K28+BS!K25)</f>
        <v>1.105773042721492</v>
      </c>
      <c r="M20" s="73">
        <f>IFERROR(AVERAGE(C20:K20),0)</f>
        <v>0.67361398813652362</v>
      </c>
      <c r="N20" s="73">
        <f t="shared" si="1"/>
        <v>0.68075452777626377</v>
      </c>
    </row>
    <row r="21" spans="2:14" x14ac:dyDescent="0.3">
      <c r="B21" t="s">
        <v>200</v>
      </c>
      <c r="C21" s="40">
        <f>'P&amp;L'!C16/BS!C28</f>
        <v>1.2712511998203038</v>
      </c>
      <c r="D21" s="40">
        <f>'P&amp;L'!D16/BS!D28</f>
        <v>0.96858785393568769</v>
      </c>
      <c r="E21" s="40">
        <f>'P&amp;L'!E16/BS!E28</f>
        <v>1.051080508095745</v>
      </c>
      <c r="F21" s="40">
        <f>'P&amp;L'!F16/BS!F28</f>
        <v>1.3933869854830176</v>
      </c>
      <c r="G21" s="40">
        <f>'P&amp;L'!G16/BS!G28</f>
        <v>1.9743226240839169</v>
      </c>
      <c r="H21" s="40">
        <f>'P&amp;L'!H16/BS!H28</f>
        <v>2.4162339899368872</v>
      </c>
      <c r="I21" s="40">
        <f>'P&amp;L'!I16/BS!I28</f>
        <v>2.6243785784276179</v>
      </c>
      <c r="J21" s="40">
        <f>'P&amp;L'!J16/BS!J28</f>
        <v>2.7566725211008216</v>
      </c>
      <c r="K21" s="40">
        <f>'P&amp;L'!K16/BS!K28</f>
        <v>3.0115326676264607</v>
      </c>
      <c r="M21" s="73">
        <f t="shared" si="0"/>
        <v>1.940827436501162</v>
      </c>
      <c r="N21" s="73">
        <f t="shared" si="1"/>
        <v>1.9743226240839169</v>
      </c>
    </row>
    <row r="22" spans="2:14" x14ac:dyDescent="0.3">
      <c r="B22" t="s">
        <v>201</v>
      </c>
      <c r="C22" s="40">
        <f>C21</f>
        <v>1.2712511998203038</v>
      </c>
      <c r="D22" s="40">
        <f t="shared" ref="D22:K22" si="2">D21</f>
        <v>0.96858785393568769</v>
      </c>
      <c r="E22" s="40">
        <f t="shared" si="2"/>
        <v>1.051080508095745</v>
      </c>
      <c r="F22" s="40">
        <f t="shared" si="2"/>
        <v>1.3933869854830176</v>
      </c>
      <c r="G22" s="40">
        <f t="shared" si="2"/>
        <v>1.9743226240839169</v>
      </c>
      <c r="H22" s="40">
        <f t="shared" si="2"/>
        <v>2.4162339899368872</v>
      </c>
      <c r="I22" s="40">
        <f t="shared" si="2"/>
        <v>2.6243785784276179</v>
      </c>
      <c r="J22" s="40">
        <f t="shared" si="2"/>
        <v>2.7566725211008216</v>
      </c>
      <c r="K22" s="40">
        <f t="shared" si="2"/>
        <v>3.0115326676264607</v>
      </c>
      <c r="M22" s="73">
        <f t="shared" si="0"/>
        <v>1.940827436501162</v>
      </c>
      <c r="N22" s="73">
        <f t="shared" si="1"/>
        <v>1.9743226240839169</v>
      </c>
    </row>
    <row r="23" spans="2:14" x14ac:dyDescent="0.3">
      <c r="B23" t="s">
        <v>202</v>
      </c>
      <c r="C23" s="68">
        <f>'P&amp;L'!C10/-'P&amp;L'!C12</f>
        <v>8.0908401034455757</v>
      </c>
      <c r="D23" s="68">
        <f>'P&amp;L'!D10/-'P&amp;L'!D12</f>
        <v>7.9761190690614123</v>
      </c>
      <c r="E23" s="68">
        <f>'P&amp;L'!E10/-'P&amp;L'!E12</f>
        <v>9.936759994627236</v>
      </c>
      <c r="F23" s="68">
        <f>'P&amp;L'!F10/-'P&amp;L'!F12</f>
        <v>14.494414476585879</v>
      </c>
      <c r="G23" s="68">
        <f>'P&amp;L'!G10/-'P&amp;L'!G12</f>
        <v>19.768799933690836</v>
      </c>
      <c r="H23" s="68">
        <f>'P&amp;L'!H10/-'P&amp;L'!H12</f>
        <v>24.705274297921417</v>
      </c>
      <c r="I23" s="68">
        <f>'P&amp;L'!I10/-'P&amp;L'!I12</f>
        <v>27.428297644858578</v>
      </c>
      <c r="J23" s="68">
        <f>'P&amp;L'!J10/-'P&amp;L'!J12</f>
        <v>29.626845323144369</v>
      </c>
      <c r="K23" s="68">
        <f>'P&amp;L'!K10/-'P&amp;L'!K12</f>
        <v>33.186761755714286</v>
      </c>
      <c r="M23" s="68">
        <f>IFERROR(AVERAGE(C23:K23),0)</f>
        <v>19.468234733227732</v>
      </c>
      <c r="N23" s="68">
        <f t="shared" si="1"/>
        <v>19.768799933690836</v>
      </c>
    </row>
    <row r="24" spans="2:14" x14ac:dyDescent="0.3">
      <c r="M24" s="37"/>
      <c r="N24" s="73"/>
    </row>
    <row r="25" spans="2:14" x14ac:dyDescent="0.3">
      <c r="B25" t="s">
        <v>203</v>
      </c>
      <c r="C25" s="68"/>
      <c r="D25" s="68">
        <f>'P&amp;L'!D5/AVERAGE(Assumptions!C76:D76)</f>
        <v>35.261245425821066</v>
      </c>
      <c r="E25" s="68">
        <f>'P&amp;L'!E5/AVERAGE(Assumptions!D76:E76)</f>
        <v>29.634453626438514</v>
      </c>
      <c r="F25" s="68">
        <f>'P&amp;L'!F5/AVERAGE(Assumptions!E76:F76)</f>
        <v>29.74495930761551</v>
      </c>
      <c r="G25" s="68">
        <f>'P&amp;L'!G5/AVERAGE(Assumptions!F76:G76)</f>
        <v>32.509184500280533</v>
      </c>
      <c r="H25" s="68">
        <f>'P&amp;L'!H5/AVERAGE(Assumptions!G76:H76)</f>
        <v>32.478294829497059</v>
      </c>
      <c r="I25" s="68">
        <f>'P&amp;L'!I5/AVERAGE(Assumptions!H76:I76)</f>
        <v>31.630197793624074</v>
      </c>
      <c r="J25" s="68">
        <f>'P&amp;L'!J5/AVERAGE(Assumptions!I76:J76)</f>
        <v>31.71529277718923</v>
      </c>
      <c r="K25" s="68">
        <f>'P&amp;L'!K5/AVERAGE(Assumptions!J76:K76)</f>
        <v>31.711198196543148</v>
      </c>
      <c r="M25" s="68">
        <f>IFERROR(AVERAGE(D25:K25),0)</f>
        <v>31.835603307126139</v>
      </c>
      <c r="N25" s="68">
        <f>IFERROR(MEDIAN(D25:K25),0)</f>
        <v>31.713245486866189</v>
      </c>
    </row>
    <row r="26" spans="2:14" x14ac:dyDescent="0.3">
      <c r="B26" t="s">
        <v>204</v>
      </c>
      <c r="C26" s="68"/>
      <c r="D26" s="68">
        <f>Assumptions!D50/AVERAGE(Assumptions!C71:D71)</f>
        <v>25.40534898700858</v>
      </c>
      <c r="E26" s="68">
        <f>Assumptions!E50/AVERAGE(Assumptions!D71:E71)</f>
        <v>27.789161513117318</v>
      </c>
      <c r="F26" s="68">
        <f>Assumptions!F50/AVERAGE(Assumptions!E71:F71)</f>
        <v>25.542640444697785</v>
      </c>
      <c r="G26" s="68">
        <f>Assumptions!G50/AVERAGE(Assumptions!F71:G71)</f>
        <v>25.457370479011338</v>
      </c>
      <c r="H26" s="68">
        <f>Assumptions!H50/AVERAGE(Assumptions!G71:H71)</f>
        <v>27.304857941305809</v>
      </c>
      <c r="I26" s="68">
        <f>Assumptions!I50/AVERAGE(Assumptions!H71:I71)</f>
        <v>27.539325605784242</v>
      </c>
      <c r="J26" s="68">
        <f>Assumptions!J50/AVERAGE(Assumptions!I71:J71)</f>
        <v>27.488295192532274</v>
      </c>
      <c r="K26" s="68">
        <f>Assumptions!K50/AVERAGE(Assumptions!J71:K71)</f>
        <v>27.230664168594238</v>
      </c>
      <c r="M26" s="68">
        <f t="shared" ref="M26:M27" si="3">IFERROR(AVERAGE(D26:K26),0)</f>
        <v>26.719708041506451</v>
      </c>
      <c r="N26" s="68">
        <f>IFERROR(MEDIAN(D26:K26),0)</f>
        <v>27.267761054950022</v>
      </c>
    </row>
    <row r="27" spans="2:14" x14ac:dyDescent="0.3">
      <c r="B27" t="s">
        <v>205</v>
      </c>
      <c r="C27" s="68"/>
      <c r="D27" s="68">
        <f>'P&amp;L'!D5/AVERAGE(BS!C12:D12)</f>
        <v>23.232122452428804</v>
      </c>
      <c r="E27" s="68">
        <f>'P&amp;L'!E5/AVERAGE(BS!D12:E12)</f>
        <v>23.34033659537786</v>
      </c>
      <c r="F27" s="68">
        <f>'P&amp;L'!F5/AVERAGE(BS!E12:F12)</f>
        <v>25.282617658498641</v>
      </c>
      <c r="G27" s="68">
        <f>'P&amp;L'!G5/AVERAGE(BS!F12:G12)</f>
        <v>26.621071213779182</v>
      </c>
      <c r="H27" s="68">
        <f>'P&amp;L'!H5/AVERAGE(BS!G12:H12)</f>
        <v>26.87738631855941</v>
      </c>
      <c r="I27" s="68">
        <f>'P&amp;L'!I5/AVERAGE(BS!H12:I12)</f>
        <v>26.801039439808488</v>
      </c>
      <c r="J27" s="68">
        <f>'P&amp;L'!J5/AVERAGE(BS!I12:J12)</f>
        <v>26.507717219607787</v>
      </c>
      <c r="K27" s="68">
        <f>'P&amp;L'!K5/AVERAGE(BS!J12:K12)</f>
        <v>26.178028840993608</v>
      </c>
      <c r="M27" s="68">
        <f t="shared" si="3"/>
        <v>25.605039967381725</v>
      </c>
      <c r="N27" s="68">
        <f t="shared" ref="N27" si="4">IFERROR(MEDIAN(D27:K27),0)</f>
        <v>26.342873030300698</v>
      </c>
    </row>
    <row r="28" spans="2:14" x14ac:dyDescent="0.3">
      <c r="B28" t="s">
        <v>206</v>
      </c>
      <c r="C28" s="68">
        <f>'P&amp;L'!C5/SUM(BS!C28,BS!C25)</f>
        <v>1.5866239069865298</v>
      </c>
      <c r="D28" s="68">
        <f>'P&amp;L'!D5/SUM(BS!D28,BS!D25)</f>
        <v>1.6647932035282365</v>
      </c>
      <c r="E28" s="68">
        <f>'P&amp;L'!E5/SUM(BS!E28,BS!E25)</f>
        <v>1.7483547915298521</v>
      </c>
      <c r="F28" s="68">
        <f>'P&amp;L'!F5/SUM(BS!F28,BS!F25)</f>
        <v>1.9451390607814469</v>
      </c>
      <c r="G28" s="68">
        <f>'P&amp;L'!G5/SUM(BS!G28,BS!G25)</f>
        <v>2.1036408948459169</v>
      </c>
      <c r="H28" s="68">
        <f>'P&amp;L'!H5/SUM(BS!H28,BS!H25)</f>
        <v>2.4008809520782215</v>
      </c>
      <c r="I28" s="68">
        <f>'P&amp;L'!I5/SUM(BS!I28,BS!I25)</f>
        <v>2.6676889824281269</v>
      </c>
      <c r="J28" s="68">
        <f>'P&amp;L'!J5/SUM(BS!J28,BS!J25)</f>
        <v>2.9380571836576497</v>
      </c>
      <c r="K28" s="68">
        <f>'P&amp;L'!K5/SUM(BS!K28,BS!K25)</f>
        <v>3.2370919364522317</v>
      </c>
      <c r="M28" s="68">
        <f>IFERROR(AVERAGE(C28:K28),0)</f>
        <v>2.2546967680320233</v>
      </c>
      <c r="N28" s="68">
        <f>IFERROR(MEDIAN(C28:K28),0)</f>
        <v>2.1036408948459169</v>
      </c>
    </row>
    <row r="29" spans="2:14" x14ac:dyDescent="0.3">
      <c r="M29" s="37"/>
      <c r="N29" s="73"/>
    </row>
    <row r="30" spans="2:14" x14ac:dyDescent="0.3">
      <c r="B30" t="s">
        <v>207</v>
      </c>
      <c r="C30" s="37"/>
      <c r="D30" s="37">
        <f>365/D25</f>
        <v>10.351307663475726</v>
      </c>
      <c r="E30" s="37">
        <f t="shared" ref="E30:K31" si="5">365/E25</f>
        <v>12.316744712119934</v>
      </c>
      <c r="F30" s="37">
        <f t="shared" si="5"/>
        <v>12.27098669812435</v>
      </c>
      <c r="G30" s="37">
        <f t="shared" si="5"/>
        <v>11.227596311954558</v>
      </c>
      <c r="H30" s="37">
        <f t="shared" si="5"/>
        <v>11.238274728281114</v>
      </c>
      <c r="I30" s="37">
        <f t="shared" si="5"/>
        <v>11.539605360089643</v>
      </c>
      <c r="J30" s="37">
        <f t="shared" si="5"/>
        <v>11.508643560828832</v>
      </c>
      <c r="K30" s="37">
        <f t="shared" si="5"/>
        <v>11.510129568039748</v>
      </c>
      <c r="M30" s="37">
        <f>IFERROR(AVERAGE(C30:H30),0)</f>
        <v>11.480982022791135</v>
      </c>
      <c r="N30" s="37">
        <f>IFERROR(MEDIAN(C30:H30),0)</f>
        <v>11.238274728281114</v>
      </c>
    </row>
    <row r="31" spans="2:14" x14ac:dyDescent="0.3">
      <c r="B31" t="s">
        <v>84</v>
      </c>
      <c r="C31" s="37"/>
      <c r="D31" s="37">
        <f>365/D26</f>
        <v>14.367053181857427</v>
      </c>
      <c r="E31" s="37">
        <f t="shared" si="5"/>
        <v>13.134617243766389</v>
      </c>
      <c r="F31" s="37">
        <f t="shared" si="5"/>
        <v>14.289830403018016</v>
      </c>
      <c r="G31" s="37">
        <f t="shared" si="5"/>
        <v>14.337694472448717</v>
      </c>
      <c r="H31" s="37">
        <f t="shared" si="5"/>
        <v>13.367584654152004</v>
      </c>
      <c r="I31" s="37">
        <f t="shared" si="5"/>
        <v>13.253774083826402</v>
      </c>
      <c r="J31" s="37">
        <f t="shared" si="5"/>
        <v>13.278378940690338</v>
      </c>
      <c r="K31" s="37">
        <f t="shared" si="5"/>
        <v>13.404006517805138</v>
      </c>
      <c r="M31" s="37">
        <f>IFERROR(AVERAGE(C31:H31),0)</f>
        <v>13.899355991048509</v>
      </c>
      <c r="N31" s="37">
        <f>IFERROR(MEDIAN(C31:H31),0)</f>
        <v>14.289830403018016</v>
      </c>
    </row>
    <row r="32" spans="2:14" x14ac:dyDescent="0.3">
      <c r="B32" t="s">
        <v>208</v>
      </c>
      <c r="C32" s="37"/>
      <c r="D32" s="37">
        <f>D30-D31</f>
        <v>-4.015745518381701</v>
      </c>
      <c r="E32" s="37">
        <f t="shared" ref="E32:K32" si="6">E30-E31</f>
        <v>-0.81787253164645435</v>
      </c>
      <c r="F32" s="37">
        <f t="shared" si="6"/>
        <v>-2.0188437048936656</v>
      </c>
      <c r="G32" s="37">
        <f t="shared" si="6"/>
        <v>-3.1100981604941591</v>
      </c>
      <c r="H32" s="37">
        <f t="shared" si="6"/>
        <v>-2.1293099258708903</v>
      </c>
      <c r="I32" s="37">
        <f t="shared" si="6"/>
        <v>-1.7141687237367584</v>
      </c>
      <c r="J32" s="37">
        <f t="shared" si="6"/>
        <v>-1.7697353798615065</v>
      </c>
      <c r="K32" s="37">
        <f t="shared" si="6"/>
        <v>-1.8938769497653904</v>
      </c>
      <c r="M32" s="37">
        <f>IFERROR(AVERAGE(C32:H32),0)</f>
        <v>-2.4183739682573742</v>
      </c>
      <c r="N32" s="37">
        <f>IFERROR(MEDIAN(C32:H32),0)</f>
        <v>-2.1293099258708903</v>
      </c>
    </row>
    <row r="33" spans="13:14" x14ac:dyDescent="0.3">
      <c r="M33" s="37"/>
      <c r="N33" s="73"/>
    </row>
  </sheetData>
  <pageMargins left="0.7" right="0.7" top="0.75" bottom="0.75" header="0.3" footer="0.3"/>
  <ignoredErrors>
    <ignoredError sqref="D25:F25 D27:K27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A56D7F4-9FD3-4856-8791-1FCA6B54E622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'Ratio Analysis'!C6:H6</xm:f>
              <xm:sqref>L6</xm:sqref>
            </x14:sparkline>
            <x14:sparkline>
              <xm:f>'Ratio Analysis'!C7:H7</xm:f>
              <xm:sqref>L7</xm:sqref>
            </x14:sparkline>
            <x14:sparkline>
              <xm:f>'Ratio Analysis'!C8:H8</xm:f>
              <xm:sqref>L8</xm:sqref>
            </x14:sparkline>
            <x14:sparkline>
              <xm:f>'Ratio Analysis'!C9:H9</xm:f>
              <xm:sqref>L9</xm:sqref>
            </x14:sparkline>
            <x14:sparkline>
              <xm:f>'Ratio Analysis'!C10:H10</xm:f>
              <xm:sqref>L10</xm:sqref>
            </x14:sparkline>
            <x14:sparkline>
              <xm:f>'Ratio Analysis'!C11:H11</xm:f>
              <xm:sqref>L11</xm:sqref>
            </x14:sparkline>
            <x14:sparkline>
              <xm:f>'Ratio Analysis'!C12:H12</xm:f>
              <xm:sqref>L12</xm:sqref>
            </x14:sparkline>
            <x14:sparkline>
              <xm:f>'Ratio Analysis'!C13:H13</xm:f>
              <xm:sqref>L13</xm:sqref>
            </x14:sparkline>
            <x14:sparkline>
              <xm:f>'Ratio Analysis'!C14:H14</xm:f>
              <xm:sqref>L14</xm:sqref>
            </x14:sparkline>
            <x14:sparkline>
              <xm:f>'Ratio Analysis'!C15:H15</xm:f>
              <xm:sqref>L15</xm:sqref>
            </x14:sparkline>
            <x14:sparkline>
              <xm:f>'Ratio Analysis'!C16:H16</xm:f>
              <xm:sqref>L16</xm:sqref>
            </x14:sparkline>
            <x14:sparkline>
              <xm:f>'Ratio Analysis'!C17:H17</xm:f>
              <xm:sqref>L17</xm:sqref>
            </x14:sparkline>
            <x14:sparkline>
              <xm:f>'Ratio Analysis'!C18:H18</xm:f>
              <xm:sqref>L18</xm:sqref>
            </x14:sparkline>
            <x14:sparkline>
              <xm:f>'Ratio Analysis'!C19:H19</xm:f>
              <xm:sqref>L19</xm:sqref>
            </x14:sparkline>
            <x14:sparkline>
              <xm:f>'Ratio Analysis'!C20:H20</xm:f>
              <xm:sqref>L20</xm:sqref>
            </x14:sparkline>
            <x14:sparkline>
              <xm:f>'Ratio Analysis'!C21:H21</xm:f>
              <xm:sqref>L21</xm:sqref>
            </x14:sparkline>
            <x14:sparkline>
              <xm:f>'Ratio Analysis'!C22:H22</xm:f>
              <xm:sqref>L22</xm:sqref>
            </x14:sparkline>
            <x14:sparkline>
              <xm:f>'Ratio Analysis'!C23:H23</xm:f>
              <xm:sqref>L23</xm:sqref>
            </x14:sparkline>
            <x14:sparkline>
              <xm:f>'Ratio Analysis'!C24:H24</xm:f>
              <xm:sqref>L24</xm:sqref>
            </x14:sparkline>
            <x14:sparkline>
              <xm:f>'Ratio Analysis'!C25:H25</xm:f>
              <xm:sqref>L25</xm:sqref>
            </x14:sparkline>
            <x14:sparkline>
              <xm:f>'Ratio Analysis'!C26:H26</xm:f>
              <xm:sqref>L26</xm:sqref>
            </x14:sparkline>
            <x14:sparkline>
              <xm:f>'Ratio Analysis'!C27:H27</xm:f>
              <xm:sqref>L27</xm:sqref>
            </x14:sparkline>
            <x14:sparkline>
              <xm:f>'Ratio Analysis'!C28:H28</xm:f>
              <xm:sqref>L28</xm:sqref>
            </x14:sparkline>
            <x14:sparkline>
              <xm:f>'Ratio Analysis'!C29:H29</xm:f>
              <xm:sqref>L29</xm:sqref>
            </x14:sparkline>
            <x14:sparkline>
              <xm:f>'Ratio Analysis'!C30:H30</xm:f>
              <xm:sqref>L30</xm:sqref>
            </x14:sparkline>
            <x14:sparkline>
              <xm:f>'Ratio Analysis'!C31:H31</xm:f>
              <xm:sqref>L31</xm:sqref>
            </x14:sparkline>
            <x14:sparkline>
              <xm:f>'Ratio Analysis'!C32:H32</xm:f>
              <xm:sqref>L32</xm:sqref>
            </x14:sparkline>
            <x14:sparkline>
              <xm:f>'Ratio Analysis'!C33:H33</xm:f>
              <xm:sqref>L33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40EF1-278E-4140-933A-371DDFD5A19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P&amp;L</vt:lpstr>
      <vt:lpstr>BS</vt:lpstr>
      <vt:lpstr>CFS</vt:lpstr>
      <vt:lpstr>Dupont</vt:lpstr>
      <vt:lpstr>Assumptions</vt:lpstr>
      <vt:lpstr>CCA</vt:lpstr>
      <vt:lpstr>DCF</vt:lpstr>
      <vt:lpstr>WACC</vt:lpstr>
      <vt:lpstr>Regression Beta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Kotian</dc:creator>
  <cp:lastModifiedBy>Kaushik Kotian</cp:lastModifiedBy>
  <cp:lastPrinted>2026-01-09T12:14:27Z</cp:lastPrinted>
  <dcterms:created xsi:type="dcterms:W3CDTF">2025-12-22T11:19:41Z</dcterms:created>
  <dcterms:modified xsi:type="dcterms:W3CDTF">2026-01-12T03:56:44Z</dcterms:modified>
</cp:coreProperties>
</file>